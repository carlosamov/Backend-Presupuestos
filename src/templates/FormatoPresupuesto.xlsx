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Repositorios\Presupuestos_Generico\server\src\templates\"/>
    </mc:Choice>
  </mc:AlternateContent>
  <xr:revisionPtr revIDLastSave="0" documentId="13_ncr:1_{41777AE7-CD60-443B-985A-59F0EA20C45A}" xr6:coauthVersionLast="47" xr6:coauthVersionMax="47" xr10:uidLastSave="{00000000-0000-0000-0000-000000000000}"/>
  <bookViews>
    <workbookView xWindow="-120" yWindow="-120" windowWidth="20730" windowHeight="11040" firstSheet="7" activeTab="7" xr2:uid="{00000000-000D-0000-FFFF-FFFF00000000}"/>
  </bookViews>
  <sheets>
    <sheet name="Sala VIP Equipos " sheetId="18" state="hidden" r:id="rId1"/>
    <sheet name="OFIC Country Manager EQUIPOS" sheetId="19" state="hidden" r:id="rId2"/>
    <sheet name="Sala de Reuniones Nueva eQUIPOS" sheetId="20" state="hidden" r:id="rId3"/>
    <sheet name="Sala VIDCONFERENCIA EQUIPOS" sheetId="21" state="hidden" r:id="rId4"/>
    <sheet name="OFIC Country Manager 2" sheetId="2" state="hidden" r:id="rId5"/>
    <sheet name="Sala ERO-1 Equipos" sheetId="17" state="hidden" r:id="rId6"/>
    <sheet name="Accesorios comunes Equipos" sheetId="22" state="hidden" r:id="rId7"/>
    <sheet name="presupuesto" sheetId="28" r:id="rId8"/>
    <sheet name="final" sheetId="30" r:id="rId9"/>
    <sheet name="RESUMEN AUDVINTECH" sheetId="9" state="hidden" r:id="rId10"/>
    <sheet name="Iluminación 1" sheetId="13" state="hidden" r:id="rId11"/>
  </sheets>
  <definedNames>
    <definedName name="_xlnm._FilterDatabase" localSheetId="6" hidden="1">'Accesorios comunes Equipos'!$N$19:$O$31</definedName>
    <definedName name="_xlnm._FilterDatabase" localSheetId="10" hidden="1">'Iluminación 1'!$N$19:$O$30</definedName>
    <definedName name="_xlnm._FilterDatabase" localSheetId="2" hidden="1">'Sala de Reuniones Nueva eQUIPOS'!$N$19:$O$23</definedName>
    <definedName name="_xlnm._FilterDatabase" localSheetId="5" hidden="1">'Sala ERO-1 Equipos'!#REF!</definedName>
    <definedName name="_xlnm._FilterDatabase" localSheetId="3" hidden="1">'Sala VIDCONFERENCIA EQUIPOS'!$N$19:$O$41</definedName>
    <definedName name="_xlnm._FilterDatabase" localSheetId="0" hidden="1">'Sala VIP Equipos '!$N$19:$O$36</definedName>
    <definedName name="_xlnm.Print_Area" localSheetId="6">'Accesorios comunes Equipos'!$A$1:$M$39</definedName>
    <definedName name="_xlnm.Print_Area" localSheetId="8">final!$A$1:$R$57</definedName>
    <definedName name="_xlnm.Print_Area" localSheetId="10">'Iluminación 1'!$A$1:$M$84</definedName>
    <definedName name="_xlnm.Print_Area" localSheetId="4">'OFIC Country Manager 2'!$A$1:$M$86</definedName>
    <definedName name="_xlnm.Print_Area" localSheetId="1">'OFIC Country Manager EQUIPOS'!$A$1:$M$40</definedName>
    <definedName name="_xlnm.Print_Area" localSheetId="7">presupuesto!$A$1:$V$40</definedName>
    <definedName name="_xlnm.Print_Area" localSheetId="2">'Sala de Reuniones Nueva eQUIPOS'!$A$1:$M$41</definedName>
    <definedName name="_xlnm.Print_Area" localSheetId="5">'Sala ERO-1 Equipos'!$A$1:$M$60</definedName>
    <definedName name="_xlnm.Print_Area" localSheetId="3">'Sala VIDCONFERENCIA EQUIPOS'!$A$1:$M$59</definedName>
    <definedName name="_xlnm.Print_Area" localSheetId="0">'Sala VIP Equipos '!$A$1:$M$38</definedName>
    <definedName name="_xlnm.Print_Titles" localSheetId="6">'Accesorios comunes Equipos'!$1:$15</definedName>
    <definedName name="_xlnm.Print_Titles" localSheetId="10">'Iluminación 1'!$1:$15</definedName>
    <definedName name="_xlnm.Print_Titles" localSheetId="4">'OFIC Country Manager 2'!$1:$14</definedName>
    <definedName name="_xlnm.Print_Titles" localSheetId="1">'OFIC Country Manager EQUIPOS'!$1:$14</definedName>
    <definedName name="_xlnm.Print_Titles" localSheetId="2">'Sala de Reuniones Nueva eQUIPOS'!$1:$15</definedName>
    <definedName name="_xlnm.Print_Titles" localSheetId="5">'Sala ERO-1 Equipos'!$1:$15</definedName>
    <definedName name="_xlnm.Print_Titles" localSheetId="3">'Sala VIDCONFERENCIA EQUIPOS'!$1:$15</definedName>
    <definedName name="_xlnm.Print_Titles" localSheetId="0">'Sala VIP Equipos '!$1:$15</definedName>
    <definedName name="Z_A8DD552C_BE27_4C7E_BDB3_1479AD9D9E0F_.wvu.Cols" localSheetId="9" hidden="1">'RESUMEN AUDVINTECH'!$F:$F</definedName>
    <definedName name="Z_A8DD552C_BE27_4C7E_BDB3_1479AD9D9E0F_.wvu.FilterData" localSheetId="6" hidden="1">'Accesorios comunes Equipos'!$N$19:$O$31</definedName>
    <definedName name="Z_A8DD552C_BE27_4C7E_BDB3_1479AD9D9E0F_.wvu.FilterData" localSheetId="10" hidden="1">'Iluminación 1'!$N$19:$O$30</definedName>
    <definedName name="Z_A8DD552C_BE27_4C7E_BDB3_1479AD9D9E0F_.wvu.FilterData" localSheetId="2" hidden="1">'Sala de Reuniones Nueva eQUIPOS'!$N$19:$O$23</definedName>
    <definedName name="Z_A8DD552C_BE27_4C7E_BDB3_1479AD9D9E0F_.wvu.FilterData" localSheetId="5" hidden="1">'Sala ERO-1 Equipos'!#REF!</definedName>
    <definedName name="Z_A8DD552C_BE27_4C7E_BDB3_1479AD9D9E0F_.wvu.FilterData" localSheetId="3" hidden="1">'Sala VIDCONFERENCIA EQUIPOS'!$N$19:$O$41</definedName>
    <definedName name="Z_A8DD552C_BE27_4C7E_BDB3_1479AD9D9E0F_.wvu.FilterData" localSheetId="0" hidden="1">'Sala VIP Equipos '!$N$19:$O$36</definedName>
    <definedName name="Z_A8DD552C_BE27_4C7E_BDB3_1479AD9D9E0F_.wvu.PrintArea" localSheetId="6" hidden="1">'Accesorios comunes Equipos'!$A$1:$M$39</definedName>
    <definedName name="Z_A8DD552C_BE27_4C7E_BDB3_1479AD9D9E0F_.wvu.PrintArea" localSheetId="10" hidden="1">'Iluminación 1'!$A$1:$M$84</definedName>
    <definedName name="Z_A8DD552C_BE27_4C7E_BDB3_1479AD9D9E0F_.wvu.PrintArea" localSheetId="4" hidden="1">'OFIC Country Manager 2'!$A$1:$M$86</definedName>
    <definedName name="Z_A8DD552C_BE27_4C7E_BDB3_1479AD9D9E0F_.wvu.PrintArea" localSheetId="1" hidden="1">'OFIC Country Manager EQUIPOS'!$A$1:$M$40</definedName>
    <definedName name="Z_A8DD552C_BE27_4C7E_BDB3_1479AD9D9E0F_.wvu.PrintArea" localSheetId="2" hidden="1">'Sala de Reuniones Nueva eQUIPOS'!$A$1:$M$41</definedName>
    <definedName name="Z_A8DD552C_BE27_4C7E_BDB3_1479AD9D9E0F_.wvu.PrintArea" localSheetId="5" hidden="1">'Sala ERO-1 Equipos'!$A$1:$M$60</definedName>
    <definedName name="Z_A8DD552C_BE27_4C7E_BDB3_1479AD9D9E0F_.wvu.PrintArea" localSheetId="3" hidden="1">'Sala VIDCONFERENCIA EQUIPOS'!$A$1:$M$59</definedName>
    <definedName name="Z_A8DD552C_BE27_4C7E_BDB3_1479AD9D9E0F_.wvu.PrintArea" localSheetId="0" hidden="1">'Sala VIP Equipos '!$A$1:$M$38</definedName>
    <definedName name="Z_A8DD552C_BE27_4C7E_BDB3_1479AD9D9E0F_.wvu.PrintTitles" localSheetId="6" hidden="1">'Accesorios comunes Equipos'!$1:$15</definedName>
    <definedName name="Z_A8DD552C_BE27_4C7E_BDB3_1479AD9D9E0F_.wvu.PrintTitles" localSheetId="10" hidden="1">'Iluminación 1'!$1:$15</definedName>
    <definedName name="Z_A8DD552C_BE27_4C7E_BDB3_1479AD9D9E0F_.wvu.PrintTitles" localSheetId="4" hidden="1">'OFIC Country Manager 2'!$1:$14</definedName>
    <definedName name="Z_A8DD552C_BE27_4C7E_BDB3_1479AD9D9E0F_.wvu.PrintTitles" localSheetId="1" hidden="1">'OFIC Country Manager EQUIPOS'!$1:$14</definedName>
    <definedName name="Z_A8DD552C_BE27_4C7E_BDB3_1479AD9D9E0F_.wvu.PrintTitles" localSheetId="2" hidden="1">'Sala de Reuniones Nueva eQUIPOS'!$1:$14</definedName>
    <definedName name="Z_A8DD552C_BE27_4C7E_BDB3_1479AD9D9E0F_.wvu.PrintTitles" localSheetId="5" hidden="1">'Sala ERO-1 Equipos'!$1:$15</definedName>
    <definedName name="Z_A8DD552C_BE27_4C7E_BDB3_1479AD9D9E0F_.wvu.PrintTitles" localSheetId="3" hidden="1">'Sala VIDCONFERENCIA EQUIPOS'!$1:$15</definedName>
    <definedName name="Z_A8DD552C_BE27_4C7E_BDB3_1479AD9D9E0F_.wvu.PrintTitles" localSheetId="0" hidden="1">'Sala VIP Equipos '!$1:$15</definedName>
    <definedName name="Z_A8DD552C_BE27_4C7E_BDB3_1479AD9D9E0F_.wvu.Rows" localSheetId="6" hidden="1">'Accesorios comunes Equipos'!#REF!,'Accesorios comunes Equipos'!#REF!</definedName>
    <definedName name="Z_A8DD552C_BE27_4C7E_BDB3_1479AD9D9E0F_.wvu.Rows" localSheetId="10" hidden="1">'Iluminación 1'!$43:$43,'Iluminación 1'!$85:$86</definedName>
    <definedName name="Z_A8DD552C_BE27_4C7E_BDB3_1479AD9D9E0F_.wvu.Rows" localSheetId="4" hidden="1">'OFIC Country Manager 2'!$19:$19,'OFIC Country Manager 2'!$44:$44</definedName>
    <definedName name="Z_A8DD552C_BE27_4C7E_BDB3_1479AD9D9E0F_.wvu.Rows" localSheetId="1" hidden="1">'OFIC Country Manager EQUIPOS'!$19:$19,'OFIC Country Manager EQUIPOS'!#REF!</definedName>
    <definedName name="Z_A8DD552C_BE27_4C7E_BDB3_1479AD9D9E0F_.wvu.Rows" localSheetId="2" hidden="1">'Sala de Reuniones Nueva eQUIPOS'!$19:$19,'Sala de Reuniones Nueva eQUIPOS'!$39:$41,'Sala de Reuniones Nueva eQUIPOS'!#REF!,'Sala de Reuniones Nueva eQUIPOS'!#REF!</definedName>
    <definedName name="Z_A8DD552C_BE27_4C7E_BDB3_1479AD9D9E0F_.wvu.Rows" localSheetId="5" hidden="1">'Sala ERO-1 Equipos'!#REF!,'Sala ERO-1 Equipos'!#REF!</definedName>
    <definedName name="Z_A8DD552C_BE27_4C7E_BDB3_1479AD9D9E0F_.wvu.Rows" localSheetId="3" hidden="1">'Sala VIDCONFERENCIA EQUIPOS'!#REF!,'Sala VIDCONFERENCIA EQUIPOS'!#REF!</definedName>
    <definedName name="Z_A8DD552C_BE27_4C7E_BDB3_1479AD9D9E0F_.wvu.Rows" localSheetId="0" hidden="1">'Sala VIP Equipos '!#REF!,'Sala VIP Equipos '!#REF!</definedName>
  </definedNames>
  <calcPr calcId="191029"/>
  <customWorkbookViews>
    <customWorkbookView name="Sergio - Vista personalizada" guid="{A8DD552C-BE27-4C7E-BDB3-1479AD9D9E0F}" mergeInterval="0" personalView="1" maximized="1" xWindow="1" yWindow="1" windowWidth="1362" windowHeight="538" activeSheetId="8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9" i="22" l="1"/>
  <c r="P29" i="22"/>
  <c r="O29" i="22"/>
  <c r="R28" i="22"/>
  <c r="P28" i="22"/>
  <c r="O28" i="22"/>
  <c r="R27" i="22"/>
  <c r="P27" i="22"/>
  <c r="O27" i="22"/>
  <c r="R26" i="22"/>
  <c r="P26" i="22"/>
  <c r="O26" i="22"/>
  <c r="R25" i="22"/>
  <c r="P25" i="22"/>
  <c r="O25" i="22"/>
  <c r="R24" i="22"/>
  <c r="P24" i="22"/>
  <c r="O24" i="22"/>
  <c r="S24" i="22" s="1"/>
  <c r="R23" i="22"/>
  <c r="P23" i="22"/>
  <c r="O23" i="22"/>
  <c r="R22" i="22"/>
  <c r="P22" i="22"/>
  <c r="O22" i="22"/>
  <c r="S22" i="22" s="1"/>
  <c r="R21" i="22"/>
  <c r="P21" i="22"/>
  <c r="O21" i="22"/>
  <c r="S21" i="22" s="1"/>
  <c r="R48" i="21"/>
  <c r="P48" i="21"/>
  <c r="O48" i="21"/>
  <c r="S48" i="21" s="1"/>
  <c r="R47" i="21"/>
  <c r="P47" i="21"/>
  <c r="O47" i="21"/>
  <c r="S47" i="21" s="1"/>
  <c r="R46" i="21"/>
  <c r="P46" i="21"/>
  <c r="O46" i="21"/>
  <c r="S46" i="21" s="1"/>
  <c r="R45" i="21"/>
  <c r="P45" i="21"/>
  <c r="O45" i="21"/>
  <c r="S45" i="21" s="1"/>
  <c r="R44" i="21"/>
  <c r="P44" i="21"/>
  <c r="O44" i="21"/>
  <c r="S44" i="21" s="1"/>
  <c r="R43" i="21"/>
  <c r="P43" i="21"/>
  <c r="O43" i="21"/>
  <c r="S43" i="21" s="1"/>
  <c r="R42" i="21"/>
  <c r="P42" i="21"/>
  <c r="O42" i="21"/>
  <c r="S42" i="21"/>
  <c r="R41" i="21"/>
  <c r="P41" i="21"/>
  <c r="O41" i="21"/>
  <c r="S41" i="21" s="1"/>
  <c r="R40" i="21"/>
  <c r="P40" i="21"/>
  <c r="O40" i="21"/>
  <c r="R39" i="21"/>
  <c r="P39" i="21"/>
  <c r="O39" i="21"/>
  <c r="R38" i="21"/>
  <c r="P38" i="21"/>
  <c r="O38" i="21"/>
  <c r="R37" i="21"/>
  <c r="P37" i="21"/>
  <c r="O37" i="21"/>
  <c r="S37" i="21" s="1"/>
  <c r="R36" i="21"/>
  <c r="P36" i="21"/>
  <c r="Q36" i="21" s="1"/>
  <c r="O36" i="21"/>
  <c r="S36" i="21" s="1"/>
  <c r="R35" i="21"/>
  <c r="P35" i="21"/>
  <c r="O35" i="21"/>
  <c r="S35" i="21" s="1"/>
  <c r="R34" i="21"/>
  <c r="P34" i="21"/>
  <c r="O34" i="21"/>
  <c r="S34" i="21" s="1"/>
  <c r="R33" i="21"/>
  <c r="P33" i="21"/>
  <c r="O33" i="21"/>
  <c r="S33" i="21" s="1"/>
  <c r="R32" i="21"/>
  <c r="P32" i="21"/>
  <c r="O32" i="21"/>
  <c r="S32" i="21" s="1"/>
  <c r="R31" i="21"/>
  <c r="P31" i="21"/>
  <c r="O31" i="21"/>
  <c r="S31" i="21" s="1"/>
  <c r="R30" i="21"/>
  <c r="P30" i="21"/>
  <c r="O30" i="21"/>
  <c r="S30" i="21" s="1"/>
  <c r="R29" i="21"/>
  <c r="P29" i="21"/>
  <c r="O29" i="21"/>
  <c r="Q29" i="21" s="1"/>
  <c r="S28" i="21"/>
  <c r="R28" i="21"/>
  <c r="P28" i="21"/>
  <c r="Q28" i="21" s="1"/>
  <c r="S27" i="21"/>
  <c r="R27" i="21"/>
  <c r="R26" i="21"/>
  <c r="P26" i="21"/>
  <c r="O26" i="21"/>
  <c r="S26" i="21" s="1"/>
  <c r="R25" i="21"/>
  <c r="P25" i="21"/>
  <c r="O25" i="21"/>
  <c r="R24" i="21"/>
  <c r="P24" i="21"/>
  <c r="O24" i="21"/>
  <c r="S24" i="21" s="1"/>
  <c r="R23" i="21"/>
  <c r="P23" i="21"/>
  <c r="O23" i="21"/>
  <c r="R22" i="21"/>
  <c r="P22" i="21"/>
  <c r="O22" i="21"/>
  <c r="S22" i="21" s="1"/>
  <c r="R21" i="21"/>
  <c r="P21" i="21"/>
  <c r="O21" i="21"/>
  <c r="S21" i="21" s="1"/>
  <c r="P41" i="20"/>
  <c r="R33" i="20"/>
  <c r="P33" i="20"/>
  <c r="O33" i="20"/>
  <c r="S33" i="20" s="1"/>
  <c r="R32" i="20"/>
  <c r="P32" i="20"/>
  <c r="Q32" i="20" s="1"/>
  <c r="O32" i="20"/>
  <c r="S32" i="20" s="1"/>
  <c r="R31" i="20"/>
  <c r="P31" i="20"/>
  <c r="O31" i="20"/>
  <c r="S31" i="20" s="1"/>
  <c r="R30" i="20"/>
  <c r="P30" i="20"/>
  <c r="O30" i="20"/>
  <c r="S30" i="20" s="1"/>
  <c r="R29" i="20"/>
  <c r="P29" i="20"/>
  <c r="O29" i="20"/>
  <c r="R28" i="20"/>
  <c r="P28" i="20"/>
  <c r="Q28" i="20" s="1"/>
  <c r="O28" i="20"/>
  <c r="R27" i="20"/>
  <c r="P27" i="20"/>
  <c r="O27" i="20"/>
  <c r="S27" i="20" s="1"/>
  <c r="R26" i="20"/>
  <c r="P26" i="20"/>
  <c r="O26" i="20"/>
  <c r="S26" i="20" s="1"/>
  <c r="R25" i="20"/>
  <c r="P25" i="20"/>
  <c r="O25" i="20"/>
  <c r="R24" i="20"/>
  <c r="P24" i="20"/>
  <c r="O24" i="20"/>
  <c r="R23" i="20"/>
  <c r="P23" i="20"/>
  <c r="O23" i="20"/>
  <c r="R22" i="20"/>
  <c r="P22" i="20"/>
  <c r="O22" i="20"/>
  <c r="R21" i="20"/>
  <c r="P21" i="20"/>
  <c r="O21" i="20"/>
  <c r="S21" i="20" s="1"/>
  <c r="R20" i="20"/>
  <c r="P20" i="20"/>
  <c r="Q20" i="20" s="1"/>
  <c r="O20" i="20"/>
  <c r="S20" i="20" s="1"/>
  <c r="R26" i="19"/>
  <c r="P26" i="19"/>
  <c r="O26" i="19"/>
  <c r="S26" i="19" s="1"/>
  <c r="R25" i="19"/>
  <c r="P25" i="19"/>
  <c r="O25" i="19"/>
  <c r="R24" i="19"/>
  <c r="P24" i="19"/>
  <c r="O24" i="19"/>
  <c r="R23" i="19"/>
  <c r="P23" i="19"/>
  <c r="Q23" i="19" s="1"/>
  <c r="O23" i="19"/>
  <c r="S23" i="19" s="1"/>
  <c r="R22" i="19"/>
  <c r="P22" i="19"/>
  <c r="O22" i="19"/>
  <c r="R21" i="19"/>
  <c r="P21" i="19"/>
  <c r="O21" i="19"/>
  <c r="S21" i="19" s="1"/>
  <c r="R20" i="19"/>
  <c r="P20" i="19"/>
  <c r="O20" i="19"/>
  <c r="R33" i="18"/>
  <c r="P33" i="18"/>
  <c r="O33" i="18"/>
  <c r="S33" i="18" s="1"/>
  <c r="R32" i="18"/>
  <c r="P32" i="18"/>
  <c r="O32" i="18"/>
  <c r="S32" i="18" s="1"/>
  <c r="R31" i="18"/>
  <c r="P31" i="18"/>
  <c r="O31" i="18"/>
  <c r="S31" i="18" s="1"/>
  <c r="R30" i="18"/>
  <c r="P30" i="18"/>
  <c r="O30" i="18"/>
  <c r="S30" i="18" s="1"/>
  <c r="R29" i="18"/>
  <c r="P29" i="18"/>
  <c r="O29" i="18"/>
  <c r="R28" i="18"/>
  <c r="P28" i="18"/>
  <c r="O28" i="18"/>
  <c r="S28" i="18" s="1"/>
  <c r="R27" i="18"/>
  <c r="P27" i="18"/>
  <c r="O27" i="18"/>
  <c r="S27" i="18" s="1"/>
  <c r="R26" i="18"/>
  <c r="P26" i="18"/>
  <c r="O26" i="18"/>
  <c r="S26" i="18" s="1"/>
  <c r="R25" i="18"/>
  <c r="P25" i="18"/>
  <c r="O25" i="18"/>
  <c r="R24" i="18"/>
  <c r="P24" i="18"/>
  <c r="O24" i="18"/>
  <c r="R23" i="18"/>
  <c r="P23" i="18"/>
  <c r="O23" i="18"/>
  <c r="S23" i="18" s="1"/>
  <c r="R22" i="18"/>
  <c r="P22" i="18"/>
  <c r="O22" i="18"/>
  <c r="R21" i="18"/>
  <c r="P21" i="18"/>
  <c r="O21" i="18"/>
  <c r="R20" i="18"/>
  <c r="P20" i="18"/>
  <c r="O20" i="18"/>
  <c r="S20" i="18" s="1"/>
  <c r="D37" i="9"/>
  <c r="D11" i="9"/>
  <c r="S40" i="21"/>
  <c r="S28" i="20"/>
  <c r="E11" i="9"/>
  <c r="D15" i="9"/>
  <c r="E15" i="9"/>
  <c r="D27" i="9"/>
  <c r="D9" i="9"/>
  <c r="E9" i="9"/>
  <c r="C15" i="9"/>
  <c r="C9" i="9"/>
  <c r="S29" i="13"/>
  <c r="R29" i="13"/>
  <c r="S28" i="13"/>
  <c r="R28" i="13"/>
  <c r="R27" i="13"/>
  <c r="S27" i="13"/>
  <c r="R26" i="13"/>
  <c r="S26" i="13"/>
  <c r="S25" i="13"/>
  <c r="R25" i="13"/>
  <c r="R24" i="13"/>
  <c r="P24" i="13"/>
  <c r="O24" i="13"/>
  <c r="S24" i="13" s="1"/>
  <c r="R23" i="13"/>
  <c r="P23" i="13"/>
  <c r="O23" i="13"/>
  <c r="S23" i="13" s="1"/>
  <c r="R22" i="13"/>
  <c r="P22" i="13"/>
  <c r="O22" i="13"/>
  <c r="S22" i="13" s="1"/>
  <c r="R21" i="13"/>
  <c r="P21" i="13"/>
  <c r="O21" i="13"/>
  <c r="S21" i="13" s="1"/>
  <c r="K30" i="13"/>
  <c r="K45" i="13" s="1"/>
  <c r="O26" i="2"/>
  <c r="S26" i="2" s="1"/>
  <c r="P26" i="2"/>
  <c r="R26" i="2"/>
  <c r="P25" i="2"/>
  <c r="O25" i="2"/>
  <c r="S25" i="2" s="1"/>
  <c r="R25" i="2"/>
  <c r="R24" i="2"/>
  <c r="P24" i="2"/>
  <c r="O24" i="2"/>
  <c r="S24" i="2" s="1"/>
  <c r="R23" i="2"/>
  <c r="P23" i="2"/>
  <c r="O23" i="2"/>
  <c r="S23" i="2" s="1"/>
  <c r="R22" i="2"/>
  <c r="P22" i="2"/>
  <c r="O22" i="2"/>
  <c r="S22" i="2" s="1"/>
  <c r="R21" i="2"/>
  <c r="P21" i="2"/>
  <c r="O21" i="2"/>
  <c r="S21" i="2" s="1"/>
  <c r="R20" i="2"/>
  <c r="P20" i="2"/>
  <c r="O20" i="2"/>
  <c r="S20" i="2" s="1"/>
  <c r="D17" i="9"/>
  <c r="E17" i="9"/>
  <c r="D5" i="9"/>
  <c r="D22" i="9" s="1"/>
  <c r="D29" i="9" s="1"/>
  <c r="D13" i="9"/>
  <c r="E13" i="9"/>
  <c r="E5" i="9"/>
  <c r="E22" i="9" s="1"/>
  <c r="C5" i="9"/>
  <c r="C22" i="9" s="1"/>
  <c r="D26" i="9" s="1"/>
  <c r="D41" i="9" s="1"/>
  <c r="C11" i="9"/>
  <c r="C13" i="9"/>
  <c r="Q25" i="21" l="1"/>
  <c r="Q25" i="2"/>
  <c r="J25" i="2" s="1"/>
  <c r="K25" i="2" s="1"/>
  <c r="Q23" i="13"/>
  <c r="G11" i="9"/>
  <c r="Q24" i="13"/>
  <c r="Q28" i="22"/>
  <c r="Q22" i="13"/>
  <c r="Q24" i="18"/>
  <c r="Q22" i="19"/>
  <c r="Q23" i="20"/>
  <c r="Q22" i="20"/>
  <c r="Q25" i="22"/>
  <c r="Q21" i="13"/>
  <c r="F9" i="9"/>
  <c r="Q27" i="18"/>
  <c r="Q22" i="21"/>
  <c r="Q26" i="21"/>
  <c r="Q30" i="21"/>
  <c r="Q34" i="21"/>
  <c r="Q45" i="21"/>
  <c r="Q35" i="21"/>
  <c r="Q46" i="21"/>
  <c r="Q22" i="22"/>
  <c r="S22" i="20"/>
  <c r="Q21" i="21"/>
  <c r="Q26" i="2"/>
  <c r="J26" i="2" s="1"/>
  <c r="K26" i="2" s="1"/>
  <c r="P31" i="13"/>
  <c r="Q48" i="21"/>
  <c r="Q20" i="18"/>
  <c r="Q23" i="18"/>
  <c r="Q20" i="19"/>
  <c r="Q21" i="19"/>
  <c r="Q24" i="19"/>
  <c r="Q25" i="20"/>
  <c r="Q29" i="20"/>
  <c r="Q30" i="20"/>
  <c r="Q23" i="21"/>
  <c r="Q32" i="21"/>
  <c r="Q39" i="21"/>
  <c r="Q40" i="21"/>
  <c r="Q41" i="21"/>
  <c r="Q42" i="21"/>
  <c r="Q43" i="21"/>
  <c r="Q47" i="21"/>
  <c r="Q23" i="22"/>
  <c r="Q27" i="22"/>
  <c r="Q22" i="2"/>
  <c r="J22" i="2" s="1"/>
  <c r="K22" i="2" s="1"/>
  <c r="G15" i="9"/>
  <c r="Q31" i="20"/>
  <c r="Q24" i="22"/>
  <c r="S24" i="18"/>
  <c r="Q28" i="18"/>
  <c r="Q33" i="21"/>
  <c r="Q21" i="18"/>
  <c r="Q25" i="18"/>
  <c r="Q29" i="18"/>
  <c r="Q30" i="18"/>
  <c r="Q24" i="20"/>
  <c r="Q26" i="22"/>
  <c r="Q21" i="2"/>
  <c r="J21" i="2" s="1"/>
  <c r="K21" i="2" s="1"/>
  <c r="P30" i="2"/>
  <c r="S29" i="21"/>
  <c r="Q32" i="18"/>
  <c r="Q21" i="22"/>
  <c r="S23" i="20"/>
  <c r="Q44" i="21"/>
  <c r="R27" i="19"/>
  <c r="R49" i="21"/>
  <c r="G13" i="9"/>
  <c r="G9" i="9"/>
  <c r="S25" i="18"/>
  <c r="Q33" i="18"/>
  <c r="Q21" i="20"/>
  <c r="Q31" i="21"/>
  <c r="Q22" i="18"/>
  <c r="R35" i="18"/>
  <c r="Q31" i="18"/>
  <c r="S20" i="19"/>
  <c r="Q25" i="19"/>
  <c r="Q27" i="20"/>
  <c r="Q38" i="21"/>
  <c r="S25" i="22"/>
  <c r="R30" i="22"/>
  <c r="S23" i="22"/>
  <c r="S26" i="22"/>
  <c r="S27" i="22"/>
  <c r="S28" i="22"/>
  <c r="Q29" i="22"/>
  <c r="F13" i="9"/>
  <c r="Q24" i="2"/>
  <c r="J24" i="2" s="1"/>
  <c r="K24" i="2" s="1"/>
  <c r="S29" i="20"/>
  <c r="F11" i="9"/>
  <c r="P32" i="13"/>
  <c r="F5" i="9"/>
  <c r="Q20" i="2"/>
  <c r="J20" i="2" s="1"/>
  <c r="K20" i="2" s="1"/>
  <c r="R34" i="20"/>
  <c r="P31" i="2"/>
  <c r="Q23" i="2"/>
  <c r="J23" i="2" s="1"/>
  <c r="K23" i="2" s="1"/>
  <c r="Q26" i="18"/>
  <c r="Q26" i="19"/>
  <c r="Q33" i="20"/>
  <c r="Q24" i="21"/>
  <c r="Q37" i="21"/>
  <c r="Q26" i="20"/>
  <c r="S22" i="18"/>
  <c r="S29" i="18"/>
  <c r="S24" i="19"/>
  <c r="S25" i="19"/>
  <c r="S24" i="20"/>
  <c r="S25" i="20"/>
  <c r="S25" i="21"/>
  <c r="S38" i="21"/>
  <c r="S39" i="21"/>
  <c r="S29" i="22"/>
  <c r="F15" i="9"/>
  <c r="G5" i="9"/>
  <c r="G22" i="9" s="1"/>
  <c r="J22" i="9" s="1"/>
  <c r="S21" i="18"/>
  <c r="S23" i="21"/>
  <c r="S22" i="19"/>
  <c r="G41" i="9"/>
  <c r="D43" i="9"/>
  <c r="D31" i="9"/>
  <c r="P35" i="13" l="1"/>
  <c r="K30" i="2"/>
  <c r="P34" i="2" s="1"/>
  <c r="S30" i="22"/>
  <c r="S34" i="20"/>
  <c r="S35" i="18"/>
  <c r="S27" i="19"/>
  <c r="S49" i="21"/>
  <c r="C17" i="9"/>
  <c r="K46" i="2" l="1"/>
  <c r="G17" i="9"/>
  <c r="F17" i="9"/>
  <c r="F20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Belsy Rodríguez</author>
    <author>Sergio</author>
  </authors>
  <commentList>
    <comment ref="J13" authorId="0" shapeId="0" xr:uid="{00000000-0006-0000-0000-000001000000}">
      <text>
        <r>
          <rPr>
            <sz val="8"/>
            <color indexed="81"/>
            <rFont val="Tahoma"/>
            <family val="2"/>
          </rPr>
          <t>NA: Inicial del Nombre y Apellido
DDMMAA: Día, Mes y Año. Ejem.: 110515
NRO: Número correlativo desde 01 hasta 99</t>
        </r>
      </text>
    </comment>
    <comment ref="C20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Sergio:</t>
        </r>
        <r>
          <rPr>
            <sz val="9"/>
            <color indexed="81"/>
            <rFont val="Tahoma"/>
            <family val="2"/>
          </rPr>
          <t xml:space="preserve">
hay que agregar los mics de expansion</t>
        </r>
      </text>
    </comment>
    <comment ref="C22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Sergio:</t>
        </r>
        <r>
          <rPr>
            <sz val="9"/>
            <color indexed="81"/>
            <rFont val="Tahoma"/>
            <family val="2"/>
          </rPr>
          <t xml:space="preserve">
verificar el tamaño de los monitores.</t>
        </r>
      </text>
    </comment>
    <comment ref="C30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Sergio:</t>
        </r>
        <r>
          <rPr>
            <sz val="9"/>
            <color indexed="81"/>
            <rFont val="Tahoma"/>
            <family val="2"/>
          </rPr>
          <t xml:space="preserve">
para llegar al PRY</t>
        </r>
      </text>
    </comment>
    <comment ref="B31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Sergio:</t>
        </r>
        <r>
          <rPr>
            <sz val="9"/>
            <color indexed="81"/>
            <rFont val="Tahoma"/>
            <family val="2"/>
          </rPr>
          <t xml:space="preserve">
revisar cantidades ahora on el disribuidor
</t>
        </r>
      </text>
    </comment>
    <comment ref="C33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Sergio:</t>
        </r>
        <r>
          <rPr>
            <sz val="9"/>
            <color indexed="81"/>
            <rFont val="Tahoma"/>
            <family val="2"/>
          </rPr>
          <t xml:space="preserve">
Ugreen 3.0 Amazon</t>
        </r>
      </text>
    </comment>
    <comment ref="B34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Sergio:</t>
        </r>
        <r>
          <rPr>
            <sz val="9"/>
            <color indexed="81"/>
            <rFont val="Tahoma"/>
            <family val="2"/>
          </rPr>
          <t xml:space="preserve">
revisar cantidades ahora on el disribuidor
</t>
        </r>
      </text>
    </comment>
    <comment ref="C35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Sergio:</t>
        </r>
        <r>
          <rPr>
            <sz val="9"/>
            <color indexed="81"/>
            <rFont val="Tahoma"/>
            <family val="2"/>
          </rPr>
          <t xml:space="preserve">
para llegar al PRY</t>
        </r>
      </text>
    </comment>
    <comment ref="C36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Sergio:</t>
        </r>
        <r>
          <rPr>
            <sz val="9"/>
            <color indexed="81"/>
            <rFont val="Tahoma"/>
            <family val="2"/>
          </rPr>
          <t xml:space="preserve">
Ugreen 3.0 Amazon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Belsy Rodríguez</author>
    <author>Sergio</author>
  </authors>
  <commentList>
    <comment ref="J13" authorId="0" shapeId="0" xr:uid="{00000000-0006-0000-0100-000001000000}">
      <text>
        <r>
          <rPr>
            <sz val="8"/>
            <color indexed="81"/>
            <rFont val="Tahoma"/>
            <family val="2"/>
          </rPr>
          <t>NA: Inicial del Nombre y Apellido
DDMMAA: Día, Mes y Año. Ejem.: 110515
NRO: Número correlativo desde 01 hasta 99</t>
        </r>
      </text>
    </comment>
    <comment ref="C20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Sergio:</t>
        </r>
        <r>
          <rPr>
            <sz val="9"/>
            <color indexed="81"/>
            <rFont val="Tahoma"/>
            <family val="2"/>
          </rPr>
          <t xml:space="preserve">
hay que agregar los mics de expansion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Belsy Rodríguez</author>
    <author>Sergio</author>
  </authors>
  <commentList>
    <comment ref="J13" authorId="0" shapeId="0" xr:uid="{00000000-0006-0000-0200-000001000000}">
      <text>
        <r>
          <rPr>
            <sz val="8"/>
            <color indexed="81"/>
            <rFont val="Tahoma"/>
            <family val="2"/>
          </rPr>
          <t>NA: Inicial del Nombre y Apellido
DDMMAA: Día, Mes y Año. Ejem.: 110515
NRO: Número correlativo desde 01 hasta 99</t>
        </r>
      </text>
    </comment>
    <comment ref="C20" authorId="1" shapeId="0" xr:uid="{00000000-0006-0000-0200-000002000000}">
      <text>
        <r>
          <rPr>
            <b/>
            <sz val="9"/>
            <color indexed="81"/>
            <rFont val="Tahoma"/>
            <family val="2"/>
          </rPr>
          <t>Sergio:</t>
        </r>
        <r>
          <rPr>
            <sz val="9"/>
            <color indexed="81"/>
            <rFont val="Tahoma"/>
            <family val="2"/>
          </rPr>
          <t xml:space="preserve">
hay que agregar los mics de expansion</t>
        </r>
      </text>
    </comment>
    <comment ref="B31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Sergio:</t>
        </r>
        <r>
          <rPr>
            <sz val="9"/>
            <color indexed="81"/>
            <rFont val="Tahoma"/>
            <family val="2"/>
          </rPr>
          <t xml:space="preserve">
revisar cantidades ahora on el disribuidor
</t>
        </r>
      </text>
    </comment>
    <comment ref="C33" authorId="1" shapeId="0" xr:uid="{00000000-0006-0000-0200-000004000000}">
      <text>
        <r>
          <rPr>
            <b/>
            <sz val="9"/>
            <color indexed="81"/>
            <rFont val="Tahoma"/>
            <family val="2"/>
          </rPr>
          <t>Sergio:</t>
        </r>
        <r>
          <rPr>
            <sz val="9"/>
            <color indexed="81"/>
            <rFont val="Tahoma"/>
            <family val="2"/>
          </rPr>
          <t xml:space="preserve">
Ugreen 3.0 Amazon</t>
        </r>
      </text>
    </comment>
    <comment ref="C34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Sergio:</t>
        </r>
        <r>
          <rPr>
            <sz val="9"/>
            <color indexed="81"/>
            <rFont val="Tahoma"/>
            <family val="2"/>
          </rPr>
          <t xml:space="preserve">
Ugreen 3.0 Amazon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Belsy Rodríguez</author>
    <author>Sergio</author>
  </authors>
  <commentList>
    <comment ref="J13" authorId="0" shapeId="0" xr:uid="{00000000-0006-0000-0300-000001000000}">
      <text>
        <r>
          <rPr>
            <sz val="8"/>
            <color indexed="81"/>
            <rFont val="Tahoma"/>
            <family val="2"/>
          </rPr>
          <t>NA: Inicial del Nombre y Apellido
DDMMAA: Día, Mes y Año. Ejem.: 110515
NRO: Número correlativo desde 01 hasta 99</t>
        </r>
      </text>
    </comment>
    <comment ref="C20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Sergio:</t>
        </r>
        <r>
          <rPr>
            <sz val="9"/>
            <color indexed="81"/>
            <rFont val="Tahoma"/>
            <family val="2"/>
          </rPr>
          <t xml:space="preserve">
para el DTV
</t>
        </r>
      </text>
    </comment>
    <comment ref="N22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Sergio:</t>
        </r>
        <r>
          <rPr>
            <sz val="9"/>
            <color indexed="81"/>
            <rFont val="Tahoma"/>
            <family val="2"/>
          </rPr>
          <t xml:space="preserve">
este sería el precio individual, el par cuesta 120$</t>
        </r>
      </text>
    </comment>
    <comment ref="N26" authorId="1" shapeId="0" xr:uid="{00000000-0006-0000-0300-000004000000}">
      <text>
        <r>
          <rPr>
            <b/>
            <sz val="9"/>
            <color indexed="81"/>
            <rFont val="Tahoma"/>
            <family val="2"/>
          </rPr>
          <t>Sergio:</t>
        </r>
        <r>
          <rPr>
            <sz val="9"/>
            <color indexed="81"/>
            <rFont val="Tahoma"/>
            <family val="2"/>
          </rPr>
          <t xml:space="preserve">
verificar precio costo</t>
        </r>
      </text>
    </comment>
    <comment ref="C30" authorId="1" shapeId="0" xr:uid="{00000000-0006-0000-0300-000005000000}">
      <text>
        <r>
          <rPr>
            <b/>
            <sz val="9"/>
            <color indexed="81"/>
            <rFont val="Tahoma"/>
            <family val="2"/>
          </rPr>
          <t>Sergio:</t>
        </r>
        <r>
          <rPr>
            <sz val="9"/>
            <color indexed="81"/>
            <rFont val="Tahoma"/>
            <family val="2"/>
          </rPr>
          <t xml:space="preserve">
verificar el tamaño de los monitores.</t>
        </r>
      </text>
    </comment>
    <comment ref="C33" authorId="1" shapeId="0" xr:uid="{00000000-0006-0000-0300-000006000000}">
      <text>
        <r>
          <rPr>
            <b/>
            <sz val="9"/>
            <color indexed="81"/>
            <rFont val="Tahoma"/>
            <family val="2"/>
          </rPr>
          <t>Sergio:</t>
        </r>
        <r>
          <rPr>
            <sz val="9"/>
            <color indexed="81"/>
            <rFont val="Tahoma"/>
            <family val="2"/>
          </rPr>
          <t xml:space="preserve">
precio del par</t>
        </r>
      </text>
    </comment>
    <comment ref="C44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>Sergio:</t>
        </r>
        <r>
          <rPr>
            <sz val="9"/>
            <color indexed="81"/>
            <rFont val="Tahoma"/>
            <family val="2"/>
          </rPr>
          <t xml:space="preserve">
Cable uSB Desde Tesira a PC.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Belsy Rodríguez</author>
  </authors>
  <commentList>
    <comment ref="J13" authorId="0" shapeId="0" xr:uid="{00000000-0006-0000-0400-000001000000}">
      <text>
        <r>
          <rPr>
            <sz val="8"/>
            <color indexed="81"/>
            <rFont val="Tahoma"/>
            <family val="2"/>
          </rPr>
          <t>NA: Inicial del Nombre y Apellido
DDMMAA: Día, Mes y Año. Ejem.: 110515
NRO: Número correlativo desde 01 hasta 99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Belsy Rodríguez</author>
    <author>Sergio</author>
  </authors>
  <commentList>
    <comment ref="J13" authorId="0" shapeId="0" xr:uid="{00000000-0006-0000-0500-000001000000}">
      <text>
        <r>
          <rPr>
            <sz val="8"/>
            <color indexed="81"/>
            <rFont val="Tahoma"/>
            <family val="2"/>
          </rPr>
          <t>NA: Inicial del Nombre y Apellido
DDMMAA: Día, Mes y Año. Ejem.: 110515
NRO: Número correlativo desde 01 hasta 99</t>
        </r>
      </text>
    </comment>
    <comment ref="C20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Sergio:</t>
        </r>
        <r>
          <rPr>
            <sz val="9"/>
            <color indexed="81"/>
            <rFont val="Tahoma"/>
            <family val="2"/>
          </rPr>
          <t xml:space="preserve">
para el DTV
</t>
        </r>
      </text>
    </comment>
    <comment ref="C25" authorId="1" shapeId="0" xr:uid="{00000000-0006-0000-0500-000003000000}">
      <text>
        <r>
          <rPr>
            <b/>
            <sz val="9"/>
            <color indexed="81"/>
            <rFont val="Tahoma"/>
            <family val="2"/>
          </rPr>
          <t>Sergio:</t>
        </r>
        <r>
          <rPr>
            <sz val="9"/>
            <color indexed="81"/>
            <rFont val="Tahoma"/>
            <family val="2"/>
          </rPr>
          <t xml:space="preserve">
para llegar al PRY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Belsy Rodríguez</author>
    <author>Sergio</author>
  </authors>
  <commentList>
    <comment ref="J13" authorId="0" shapeId="0" xr:uid="{00000000-0006-0000-0600-000001000000}">
      <text>
        <r>
          <rPr>
            <sz val="8"/>
            <color indexed="81"/>
            <rFont val="Tahoma"/>
            <family val="2"/>
          </rPr>
          <t>NA: Inicial del Nombre y Apellido
DDMMAA: Día, Mes y Año. Ejem.: 110515
NRO: Número correlativo desde 01 hasta 99</t>
        </r>
      </text>
    </comment>
    <comment ref="C26" authorId="1" shapeId="0" xr:uid="{00000000-0006-0000-0600-000002000000}">
      <text>
        <r>
          <rPr>
            <b/>
            <sz val="9"/>
            <color indexed="81"/>
            <rFont val="Tahoma"/>
            <family val="2"/>
          </rPr>
          <t>Sergio:</t>
        </r>
        <r>
          <rPr>
            <sz val="9"/>
            <color indexed="81"/>
            <rFont val="Tahoma"/>
            <family val="2"/>
          </rPr>
          <t xml:space="preserve">
paltinum tools cat 6 8pc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Belsy Rodríguez</author>
  </authors>
  <commentList>
    <comment ref="J13" authorId="0" shapeId="0" xr:uid="{00000000-0006-0000-0A00-000001000000}">
      <text>
        <r>
          <rPr>
            <sz val="8"/>
            <color indexed="81"/>
            <rFont val="Tahoma"/>
            <family val="2"/>
          </rPr>
          <t>NA: Inicial del Nombre y Apellido
DDMMAA: Día, Mes y Año. Ejem.: 110515
NRO: Número correlativo desde 01 hasta 99</t>
        </r>
      </text>
    </comment>
  </commentList>
</comments>
</file>

<file path=xl/sharedStrings.xml><?xml version="1.0" encoding="utf-8"?>
<sst xmlns="http://schemas.openxmlformats.org/spreadsheetml/2006/main" count="583" uniqueCount="224">
  <si>
    <t xml:space="preserve">Contacto: </t>
  </si>
  <si>
    <t>Sergio Ovalles</t>
  </si>
  <si>
    <t xml:space="preserve">Teléfono: </t>
  </si>
  <si>
    <t>(PAN):+507 8345616</t>
  </si>
  <si>
    <t>(VEN):+58 212 9625879</t>
  </si>
  <si>
    <t>Integración tecnológica…</t>
  </si>
  <si>
    <t xml:space="preserve">Correo: </t>
  </si>
  <si>
    <t>proyectos@audvintech.com</t>
  </si>
  <si>
    <t xml:space="preserve">Pág. Web: </t>
  </si>
  <si>
    <t>www.audvintech.com</t>
  </si>
  <si>
    <t>Cliente</t>
  </si>
  <si>
    <t xml:space="preserve">Nombre: </t>
  </si>
  <si>
    <t xml:space="preserve">Fecha: </t>
  </si>
  <si>
    <t xml:space="preserve">Dirección: </t>
  </si>
  <si>
    <t xml:space="preserve">Asunto: </t>
  </si>
  <si>
    <t xml:space="preserve">Ciudad: </t>
  </si>
  <si>
    <t>Caracas-Venezuela</t>
  </si>
  <si>
    <t xml:space="preserve">Solución: </t>
  </si>
  <si>
    <t xml:space="preserve">Versión: </t>
  </si>
  <si>
    <t xml:space="preserve">Representante: </t>
  </si>
  <si>
    <t xml:space="preserve">Presupuesto: </t>
  </si>
  <si>
    <t>CANTIDAD</t>
  </si>
  <si>
    <t>DESCRIPCIÓN</t>
  </si>
  <si>
    <t>PRECIO UNITARIO</t>
  </si>
  <si>
    <t>TOTAL</t>
  </si>
  <si>
    <t>PRECIO TOTAL</t>
  </si>
  <si>
    <t>COSTO X CANTIDAD</t>
  </si>
  <si>
    <t>Sistema de Colaboración Marca TOA Modelo : AM-CF1 (Nubio)</t>
  </si>
  <si>
    <t>TOTAL OFERTA</t>
  </si>
  <si>
    <t>Shure: 2 años.</t>
  </si>
  <si>
    <t>Medio de Pago</t>
  </si>
  <si>
    <t>Sólo para uso interno</t>
  </si>
  <si>
    <t xml:space="preserve">Tiempo de Entrega: </t>
  </si>
  <si>
    <t>Bobina de cable de Audio - Marca: Extron - Modelo: STP 22 (22-156-03)</t>
  </si>
  <si>
    <t>Bobina de Cable de Parlantes - Marca: Extron - Modelo: SPK16 (22-151-03)</t>
  </si>
  <si>
    <t>OFERTA VÁLIDA POR 120 DÍAS.</t>
  </si>
  <si>
    <t xml:space="preserve">Moneda: </t>
  </si>
  <si>
    <t>Dólares Americanos (USD).</t>
  </si>
  <si>
    <t>CONDICIONES GENERALES DE LA OFERTA</t>
  </si>
  <si>
    <t>TOA: 2 años.</t>
  </si>
  <si>
    <t>Extron: 2 años.</t>
  </si>
  <si>
    <t>r</t>
  </si>
  <si>
    <t>GANANCIA</t>
  </si>
  <si>
    <t>TOTAL A COMPRAR =</t>
  </si>
  <si>
    <t>TOTAL EN CUENTA</t>
  </si>
  <si>
    <t>JOCHEN</t>
  </si>
  <si>
    <t>ANTICIPO CAF</t>
  </si>
  <si>
    <t>Panasonic: 1 año.</t>
  </si>
  <si>
    <t>Biamp: 5 años.</t>
  </si>
  <si>
    <t>EV, Sony, Tascam, Polycom: 1año.</t>
  </si>
  <si>
    <t>Duración de la Oferta: 120 días.</t>
  </si>
  <si>
    <t>PRECIO COSTO</t>
  </si>
  <si>
    <t>TRAIDA</t>
  </si>
  <si>
    <t>135</t>
  </si>
  <si>
    <t>225</t>
  </si>
  <si>
    <t>260</t>
  </si>
  <si>
    <t>traida</t>
  </si>
  <si>
    <t>Regleta (Power Strip) Marca Chief Modelo: NAPDV0615PC</t>
  </si>
  <si>
    <t>TRAIDA X CANTIDAD</t>
  </si>
  <si>
    <t>total costo</t>
  </si>
  <si>
    <t>Ganancia</t>
  </si>
  <si>
    <t>Cable HDMI - Marca: Extron - Modelo: Ultra/6</t>
  </si>
  <si>
    <t>Statoil- Caracas</t>
  </si>
  <si>
    <t>Lugar de Entrega:</t>
  </si>
  <si>
    <t xml:space="preserve">Crestron: 2 años </t>
  </si>
  <si>
    <t>EV, Sony, Tascam, Cisco: 1año.</t>
  </si>
  <si>
    <t>Statoil</t>
  </si>
  <si>
    <t>Torre La Castellana</t>
  </si>
  <si>
    <t xml:space="preserve">Equipo de Videocofnerencia Marca&gt; Cisco Modelo:Spark Room Kit </t>
  </si>
  <si>
    <t>Cart Stand Marca: Chief Modelo: XPA1U</t>
  </si>
  <si>
    <t>Accesorio para Doble Monitor Marca: Chief Modelo: FCA 624B</t>
  </si>
  <si>
    <t>Cable HDMI - Marca: Extron - Modelo: Ultra/9</t>
  </si>
  <si>
    <t>Monitor de 50 " Marca NEC Modelo: E506</t>
  </si>
  <si>
    <t>monitores NEC</t>
  </si>
  <si>
    <t>CISCO</t>
  </si>
  <si>
    <t>todo lo demás</t>
  </si>
  <si>
    <t>OFICINA COUNTRY MANAGER- VIDEOCONFERENCIA CISCO</t>
  </si>
  <si>
    <t>Gladys Perez</t>
  </si>
  <si>
    <t>SO28022018-2</t>
  </si>
  <si>
    <t>OFICINA COUNTRY MANAGER-2</t>
  </si>
  <si>
    <t>60 días contra orden de compra.</t>
  </si>
  <si>
    <t>50% contra entrega.</t>
  </si>
  <si>
    <t>Form de Pago:</t>
  </si>
  <si>
    <t>50% anticipo Contra Orden De Compra</t>
  </si>
  <si>
    <t>PRECIO TRAIDA</t>
  </si>
  <si>
    <t>OFIFINA COUNTRY MANAGER-1</t>
  </si>
  <si>
    <t>SAL VIP</t>
  </si>
  <si>
    <t>SALA ERO 1</t>
  </si>
  <si>
    <t>PRECIO OFERTA</t>
  </si>
  <si>
    <t>ACCESORIOS COMUNES</t>
  </si>
  <si>
    <t>Garantía contra defectos de fábrica cubierta en Venezuela:</t>
  </si>
  <si>
    <t>Forma de Pago:</t>
  </si>
  <si>
    <t>SO28022018-8</t>
  </si>
  <si>
    <t>EQUIPOS EN COMEDOR</t>
  </si>
  <si>
    <t>NOTA: Se utilizará parlantes,  proyector y pantalla existente.</t>
  </si>
  <si>
    <t>Dimmer de pared ZUMMESH-DELV</t>
  </si>
  <si>
    <t xml:space="preserve">Controladores de Carga ZUMMES-JBOX-20A-PLUG </t>
  </si>
  <si>
    <t xml:space="preserve">Botonera ZUMMESH-KP10BBATT </t>
  </si>
  <si>
    <t>AV Bridge Marca Crestron Modelo: ZUMMESH-AVBRIDGE</t>
  </si>
  <si>
    <t>150</t>
  </si>
  <si>
    <t>Facealte de 1 Gang Crestron Modelo: FP-G1-W-S</t>
  </si>
  <si>
    <t>Sistema de Iluminación-1</t>
  </si>
  <si>
    <t>SALA DE REUNIONES NUEVA</t>
  </si>
  <si>
    <t>SALA DE REUNIONES EXISTENTES</t>
  </si>
  <si>
    <t>https://www.amazon.com/Cable-Matters-SuperSpeed-Type-Black/dp/B00HSS9LEI/ref=sr_1_9?s=electronics&amp;ie=UTF8&amp;qid=1521682827&amp;sr=1-9&amp;keywords=USB+cable++Male+to+Type+male+15ft</t>
  </si>
  <si>
    <t>https://www.amazon.com/UGREEN-Displayport-DisplayPort-Monitor-EliteBook/dp/B00LM3958M/ref=sr_1_3?s=electronics&amp;ie=UTF8&amp;qid=1521682917&amp;sr=1-3&amp;keywords=display+port+to+hdmi++15ft+ugreen</t>
  </si>
  <si>
    <t>SALA DE VIDEOCONFERENCIA</t>
  </si>
  <si>
    <t>Logitech</t>
  </si>
  <si>
    <t>Ganancia con 30%</t>
  </si>
  <si>
    <t>Total Oferta</t>
  </si>
  <si>
    <t>Toatal Aduana</t>
  </si>
  <si>
    <t>Total Adicional</t>
  </si>
  <si>
    <t>Toatl costo</t>
  </si>
  <si>
    <t>360</t>
  </si>
  <si>
    <t>SO-09042018-5</t>
  </si>
  <si>
    <t>EQUIPOS SALA DE EMERGENCIAS (ERO)</t>
  </si>
  <si>
    <t>IR Emitter Probe w/Terminal Block Connector Marca: Crestron Modelo: IRP-2</t>
  </si>
  <si>
    <t>Touch Screen 10.1" Crestron - TSW-1060</t>
  </si>
  <si>
    <t>4K DM Receiver and Room Controller  Crestron- DM-RMC-4K-100-C</t>
  </si>
  <si>
    <t>Table Top KIT Crestron TSW-1060-TTK</t>
  </si>
  <si>
    <t>5-port Gigabit Ethernet switch with PoE  Crestron  CEN-SWPOE-5</t>
  </si>
  <si>
    <t>HDMI Cable 50ft</t>
  </si>
  <si>
    <t>HDMI Cable Extron -Ultra/6</t>
  </si>
  <si>
    <t>HDMI Cable - Extron -  Ultra/3</t>
  </si>
  <si>
    <t>Digital Media  Presentation System Crestron- DMPS 3-4k-350-C</t>
  </si>
  <si>
    <t>150W PoDM Power Pack Crestron- 4830DUS</t>
  </si>
  <si>
    <t>Video Scaler Extron - DSC 301 HD</t>
  </si>
  <si>
    <t>Patch Cord CAT 6  Blue (Pak 10)</t>
  </si>
  <si>
    <t>Wireless Mouse&amp;keyboard  Logitech MK270</t>
  </si>
  <si>
    <t>Cable Manager Middle Atlantic Modelo:PHCM-2-3</t>
  </si>
  <si>
    <t>Wall Mount for TV  70" Chief - ODMLT</t>
  </si>
  <si>
    <t>LED Monitor 70"  NEC- E705</t>
  </si>
  <si>
    <t xml:space="preserve"> CISCO Telepresence   SX80</t>
  </si>
  <si>
    <t>Include : CODEC SX80,  Precision 60 camera and  Touch 10.</t>
  </si>
  <si>
    <t>Cisco Smartnet Support  (CON-SSSNT-CT-SX819)</t>
  </si>
  <si>
    <t>Display  Port to HDMI Adapter  Extron  DPM HDMIF</t>
  </si>
  <si>
    <t>HDMI to DP Adapter  Startech HDMI2DP</t>
  </si>
  <si>
    <t>QTY</t>
  </si>
  <si>
    <t>DESCRIPTION</t>
  </si>
  <si>
    <t>EMERGENCY ROOM EQUIPMENT</t>
  </si>
  <si>
    <t>HDMI Distributor Crestron  HD-DA2-4k-E</t>
  </si>
  <si>
    <t>Wall Mount for Cisco Camera Vaddio 535-2000-251</t>
  </si>
  <si>
    <t>posible cambio por Extorn</t>
  </si>
  <si>
    <t xml:space="preserve"> Receiver DTP HDMI 4K 330 RX Extron</t>
  </si>
  <si>
    <t xml:space="preserve"> Transmitter DTP HDMI 4K 330 TX Extron</t>
  </si>
  <si>
    <t>Transmitter DTP DVI 4K 330 TX</t>
  </si>
  <si>
    <t>Transmitter DTP DVI 4K 330 RX</t>
  </si>
  <si>
    <t xml:space="preserve">Cotización Anterior </t>
  </si>
  <si>
    <t>Cotizacion Actual</t>
  </si>
  <si>
    <t>Adicional</t>
  </si>
  <si>
    <t>Logitech Group Videoconfrencing Bundle</t>
  </si>
  <si>
    <t>Logitech GROUP 10m Extended Cable</t>
  </si>
  <si>
    <t xml:space="preserve">USB Cable  Typ A male to Type A male  15Ft </t>
  </si>
  <si>
    <t>Led Monitor  50 "  NEC E506</t>
  </si>
  <si>
    <t>Wall Mount  for TV  50" Chief ODMLT</t>
  </si>
  <si>
    <t xml:space="preserve">15ft Display Port to HDMI Cable  Ugreen </t>
  </si>
  <si>
    <t>Led Monitor 70" NEC E705</t>
  </si>
  <si>
    <t>Wall Mount for  TV 70"  Chief   ODMLT</t>
  </si>
  <si>
    <t>HDMI Distributor  Extron  DA 2 HD 4K plus</t>
  </si>
  <si>
    <t>Mount Kit  Extron MBU 125</t>
  </si>
  <si>
    <t xml:space="preserve"> 1 Gang Mounting Frame Extron CPM101 (60-583-11)</t>
  </si>
  <si>
    <t>MAAP HDMI Female to Female on 10" Pigtail  EXTRON 70-617-12</t>
  </si>
  <si>
    <t>Blank Plate 1 single Extron 70-315-11</t>
  </si>
  <si>
    <t>Blank Plate Double  Extron 70-315-12</t>
  </si>
  <si>
    <t>HDMI Cable 30FT Crestron CBL-HD 30</t>
  </si>
  <si>
    <t>HDMI Cable   Extron  Ultra/6</t>
  </si>
  <si>
    <t xml:space="preserve"> USB Cable Type A Male a Type  A Female - 6Ft</t>
  </si>
  <si>
    <t>Led Monitor  80" NEC E-805</t>
  </si>
  <si>
    <t>Wall Mount for  TV 80"  Chief   ODMLT</t>
  </si>
  <si>
    <t>HDMI Cable Extron Ultra/6</t>
  </si>
  <si>
    <t>Amplifier Extron XPA 1002</t>
  </si>
  <si>
    <t>Speakers  Extron   SM3 (PAIR)</t>
  </si>
  <si>
    <t>Microphone Audiotechnica Pro 45</t>
  </si>
  <si>
    <t>2 Gang Mounting Frame Extron  AAP 102 (60-300-02)</t>
  </si>
  <si>
    <t>AAP HDMI Female to Female on 10" Pigtail  EXTRON 70-616-12</t>
  </si>
  <si>
    <t>Blank Plate single Extron 70-315-11</t>
  </si>
  <si>
    <t>Blank Plate single Extron 70-090-11</t>
  </si>
  <si>
    <t>Extender USB Extron  PLUS T (60-1471-12)</t>
  </si>
  <si>
    <t>Extender USB Extron PLUS AAP R (60-1472-22)</t>
  </si>
  <si>
    <t>6ft HDMI to DVI Adapter Extron HDMI DVI-D/6</t>
  </si>
  <si>
    <t xml:space="preserve">USB Cable Type B to Type A </t>
  </si>
  <si>
    <t>Rack  14U Chief  YF1F1228B</t>
  </si>
  <si>
    <t>Rack Shelf 1U Chief UTS-1</t>
  </si>
  <si>
    <t>PDU CHIEF  NAPDH11</t>
  </si>
  <si>
    <t>Racks Screws Chief PTSW-50</t>
  </si>
  <si>
    <t>Non-Plenum audio cable 1000'  -  Extron -  STP 22 (22-156-03)</t>
  </si>
  <si>
    <t>Non-Plenum speaker cable 1000' (305 m) spool - Extron - SPK16 (22-151-03)</t>
  </si>
  <si>
    <t>Digital Media Cable  Crestron  DM-CBL-ULTRA-NP-SP500</t>
  </si>
  <si>
    <t>Connectors for  DM Cable -Crestron  DM-CONN-20</t>
  </si>
  <si>
    <t>CAT6 Ethernet Cable 1000ft Comprehensive</t>
  </si>
  <si>
    <t>CAT 6 Connectors (Pak 25)</t>
  </si>
  <si>
    <t>Nylon Cable tie  (1000 Pack) Morris 20164</t>
  </si>
  <si>
    <t>Techflex  3/4 " (25ft)</t>
  </si>
  <si>
    <t>Techflex  1 " (25ft)</t>
  </si>
  <si>
    <t>VIP ROOM</t>
  </si>
  <si>
    <t>SO-25042018-4</t>
  </si>
  <si>
    <t>COUNTRY MANAGER OFFICE</t>
  </si>
  <si>
    <t>SO-25042018-1</t>
  </si>
  <si>
    <t>SO-25042018-3</t>
  </si>
  <si>
    <t>VIDEOCONFERENCE ROOM -# 060</t>
  </si>
  <si>
    <t>SO-25042018-6</t>
  </si>
  <si>
    <t>VIDEOCONFERENCE ROOM - # 060</t>
  </si>
  <si>
    <t>NEW MEETING ROOM- # 079</t>
  </si>
  <si>
    <t xml:space="preserve">Common Accesories/Cables </t>
  </si>
  <si>
    <t>COMMON ACCESORIES/CABLES   -ERO, VIDEOCONFERENCE  AND  VIP</t>
  </si>
  <si>
    <t>SO-25042018-8</t>
  </si>
  <si>
    <t>Notas:</t>
  </si>
  <si>
    <t>Incoterm:</t>
  </si>
  <si>
    <t xml:space="preserve">Forma de Pago: </t>
  </si>
  <si>
    <t>Anticipo:</t>
  </si>
  <si>
    <t>Tiempo de Instalación:</t>
  </si>
  <si>
    <t>Tiempos de Entrega:</t>
  </si>
  <si>
    <r>
      <t xml:space="preserve">En cuanto a las Garantías: </t>
    </r>
    <r>
      <rPr>
        <sz val="9"/>
        <rFont val="Arial"/>
        <family val="2"/>
      </rPr>
      <t xml:space="preserve"> </t>
    </r>
  </si>
  <si>
    <t>OFERTA VÁLIDA POR 15 DÍAS.</t>
  </si>
  <si>
    <t>Costo Unitario</t>
  </si>
  <si>
    <t>% Traida</t>
  </si>
  <si>
    <t>$ Traida</t>
  </si>
  <si>
    <t>% Ganancia</t>
  </si>
  <si>
    <t>Costo Unitario de Equipos x Cantidad</t>
  </si>
  <si>
    <t>Costo de Traida Unitario x Cantidad</t>
  </si>
  <si>
    <t>Ganancia Unitaria x Cantidad</t>
  </si>
  <si>
    <t>Costo Total</t>
  </si>
  <si>
    <t>Traida Total</t>
  </si>
  <si>
    <t>Ganancia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</si>
</sst>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Bs.S&quot;* #,##0.00_ ;_ &quot;Bs.S&quot;* \-#,##0.00_ ;_ &quot;Bs.S&quot;* &quot;-&quot;??_ ;_ @_ "/>
    <numFmt numFmtId="164" formatCode="_(* #,##0\ &quot;pta&quot;_);_(* \(#,##0\ &quot;pta&quot;\);_(* &quot;-&quot;??\ &quot;pta&quot;_);_(@_)"/>
    <numFmt numFmtId="165" formatCode="[$$-540A]#,##0.00"/>
    <numFmt numFmtId="166" formatCode="[$$-409]#,##0.00"/>
    <numFmt numFmtId="167" formatCode="&quot;$&quot;#,##0.00"/>
    <numFmt numFmtId="168" formatCode="_-[$$-540A]* #,##0.00_ ;_-[$$-540A]* \-#,##0.00\ ;_-[$$-540A]* &quot;-&quot;??_ ;_-@_ "/>
  </numFmts>
  <fonts count="3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u/>
      <sz val="10"/>
      <color indexed="12"/>
      <name val="Arial"/>
      <family val="2"/>
    </font>
    <font>
      <sz val="9"/>
      <name val="Helv"/>
      <charset val="204"/>
    </font>
    <font>
      <sz val="8"/>
      <name val="Helv"/>
      <charset val="204"/>
    </font>
    <font>
      <sz val="9"/>
      <color theme="1"/>
      <name val="Arial"/>
      <family val="2"/>
    </font>
    <font>
      <u/>
      <sz val="9"/>
      <color theme="1"/>
      <name val="Arial"/>
      <family val="2"/>
    </font>
    <font>
      <b/>
      <i/>
      <sz val="9"/>
      <color theme="1"/>
      <name val="Arial"/>
      <family val="2"/>
    </font>
    <font>
      <b/>
      <sz val="9"/>
      <name val="Arial"/>
      <family val="2"/>
    </font>
    <font>
      <sz val="8"/>
      <color indexed="81"/>
      <name val="Tahoma"/>
      <family val="2"/>
    </font>
    <font>
      <sz val="8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8"/>
      <name val="Arial"/>
      <family val="2"/>
    </font>
    <font>
      <i/>
      <sz val="9"/>
      <name val="Arial"/>
      <family val="2"/>
    </font>
    <font>
      <b/>
      <sz val="9"/>
      <color indexed="10"/>
      <name val="Arial"/>
      <family val="2"/>
    </font>
    <font>
      <u/>
      <sz val="9"/>
      <color indexed="12"/>
      <name val="Arial"/>
      <family val="2"/>
    </font>
    <font>
      <b/>
      <i/>
      <u/>
      <sz val="9"/>
      <name val="Arial"/>
      <family val="2"/>
    </font>
    <font>
      <sz val="10"/>
      <color theme="1"/>
      <name val="Arial"/>
      <family val="2"/>
    </font>
    <font>
      <sz val="10"/>
      <name val="Helv"/>
      <charset val="204"/>
    </font>
    <font>
      <sz val="9"/>
      <color theme="0"/>
      <name val="Arial"/>
      <family val="2"/>
    </font>
    <font>
      <b/>
      <sz val="9"/>
      <name val="Helv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name val="Helv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mediumGray">
        <fgColor indexed="9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7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66FF"/>
      </left>
      <right/>
      <top style="medium">
        <color rgb="FF0066FF"/>
      </top>
      <bottom/>
      <diagonal/>
    </border>
    <border>
      <left/>
      <right/>
      <top style="medium">
        <color rgb="FF0066FF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66FF"/>
      </left>
      <right/>
      <top/>
      <bottom/>
      <diagonal/>
    </border>
    <border>
      <left/>
      <right/>
      <top/>
      <bottom style="medium">
        <color rgb="FF0066F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66FF"/>
      </right>
      <top/>
      <bottom/>
      <diagonal/>
    </border>
    <border>
      <left/>
      <right style="medium">
        <color rgb="FF0066FF"/>
      </right>
      <top/>
      <bottom style="medium">
        <color rgb="FF0066FF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rgb="FF0066FF"/>
      </top>
      <bottom style="medium">
        <color indexed="64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44" fontId="30" fillId="0" borderId="0" applyFont="0" applyFill="0" applyBorder="0" applyAlignment="0" applyProtection="0"/>
    <xf numFmtId="9" fontId="30" fillId="0" borderId="0" applyFont="0" applyFill="0" applyBorder="0" applyAlignment="0" applyProtection="0"/>
  </cellStyleXfs>
  <cellXfs count="504">
    <xf numFmtId="0" fontId="0" fillId="0" borderId="0" xfId="0"/>
    <xf numFmtId="49" fontId="2" fillId="2" borderId="0" xfId="0" applyNumberFormat="1" applyFont="1" applyFill="1" applyAlignment="1">
      <alignment vertical="center"/>
    </xf>
    <xf numFmtId="166" fontId="7" fillId="2" borderId="27" xfId="0" applyNumberFormat="1" applyFont="1" applyFill="1" applyBorder="1" applyAlignment="1">
      <alignment horizontal="right" vertical="center" wrapText="1"/>
    </xf>
    <xf numFmtId="49" fontId="9" fillId="2" borderId="19" xfId="0" applyNumberFormat="1" applyFont="1" applyFill="1" applyBorder="1" applyAlignment="1">
      <alignment horizontal="right" wrapText="1"/>
    </xf>
    <xf numFmtId="0" fontId="2" fillId="2" borderId="4" xfId="0" applyFont="1" applyFill="1" applyBorder="1"/>
    <xf numFmtId="0" fontId="5" fillId="2" borderId="0" xfId="0" applyFont="1" applyFill="1"/>
    <xf numFmtId="165" fontId="5" fillId="2" borderId="0" xfId="0" applyNumberFormat="1" applyFont="1" applyFill="1"/>
    <xf numFmtId="0" fontId="10" fillId="2" borderId="4" xfId="0" applyFont="1" applyFill="1" applyBorder="1" applyAlignment="1">
      <alignment vertical="center"/>
    </xf>
    <xf numFmtId="0" fontId="2" fillId="2" borderId="39" xfId="0" applyFont="1" applyFill="1" applyBorder="1" applyAlignment="1" applyProtection="1">
      <alignment horizontal="left" vertical="center" wrapText="1"/>
      <protection locked="0"/>
    </xf>
    <xf numFmtId="0" fontId="10" fillId="2" borderId="4" xfId="0" applyFont="1" applyFill="1" applyBorder="1" applyAlignment="1">
      <alignment horizontal="left" vertical="center"/>
    </xf>
    <xf numFmtId="0" fontId="2" fillId="2" borderId="25" xfId="0" applyFont="1" applyFill="1" applyBorder="1"/>
    <xf numFmtId="0" fontId="2" fillId="2" borderId="14" xfId="0" applyFont="1" applyFill="1" applyBorder="1"/>
    <xf numFmtId="0" fontId="5" fillId="7" borderId="0" xfId="0" applyFont="1" applyFill="1"/>
    <xf numFmtId="0" fontId="2" fillId="2" borderId="44" xfId="0" applyFont="1" applyFill="1" applyBorder="1"/>
    <xf numFmtId="0" fontId="2" fillId="2" borderId="7" xfId="0" applyFont="1" applyFill="1" applyBorder="1"/>
    <xf numFmtId="0" fontId="2" fillId="2" borderId="34" xfId="0" applyFont="1" applyFill="1" applyBorder="1"/>
    <xf numFmtId="166" fontId="15" fillId="2" borderId="27" xfId="0" applyNumberFormat="1" applyFont="1" applyFill="1" applyBorder="1" applyAlignment="1">
      <alignment horizontal="right" wrapText="1"/>
    </xf>
    <xf numFmtId="0" fontId="16" fillId="5" borderId="18" xfId="0" applyFont="1" applyFill="1" applyBorder="1" applyAlignment="1">
      <alignment horizontal="right" vertical="center"/>
    </xf>
    <xf numFmtId="49" fontId="17" fillId="2" borderId="0" xfId="0" applyNumberFormat="1" applyFont="1" applyFill="1" applyAlignment="1">
      <alignment horizontal="left" vertical="center"/>
    </xf>
    <xf numFmtId="0" fontId="2" fillId="2" borderId="1" xfId="0" applyFont="1" applyFill="1" applyBorder="1"/>
    <xf numFmtId="0" fontId="18" fillId="2" borderId="2" xfId="0" applyFont="1" applyFill="1" applyBorder="1" applyAlignment="1" applyProtection="1">
      <alignment vertical="center" wrapText="1"/>
      <protection locked="0"/>
    </xf>
    <xf numFmtId="0" fontId="18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/>
    <xf numFmtId="0" fontId="2" fillId="2" borderId="3" xfId="0" applyFont="1" applyFill="1" applyBorder="1"/>
    <xf numFmtId="3" fontId="10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right"/>
    </xf>
    <xf numFmtId="14" fontId="10" fillId="2" borderId="0" xfId="0" applyNumberFormat="1" applyFont="1" applyFill="1" applyAlignment="1" applyProtection="1">
      <alignment horizontal="left"/>
      <protection locked="0"/>
    </xf>
    <xf numFmtId="0" fontId="2" fillId="2" borderId="6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49" fontId="19" fillId="2" borderId="0" xfId="0" applyNumberFormat="1" applyFont="1" applyFill="1" applyProtection="1">
      <protection locked="0"/>
    </xf>
    <xf numFmtId="49" fontId="2" fillId="2" borderId="0" xfId="0" applyNumberFormat="1" applyFont="1" applyFill="1" applyAlignment="1">
      <alignment horizontal="left" vertical="center"/>
    </xf>
    <xf numFmtId="3" fontId="10" fillId="2" borderId="4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20" fillId="2" borderId="0" xfId="1" applyFont="1" applyFill="1" applyBorder="1" applyAlignment="1" applyProtection="1">
      <alignment horizontal="right"/>
    </xf>
    <xf numFmtId="0" fontId="10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10" fillId="2" borderId="12" xfId="0" applyFont="1" applyFill="1" applyBorder="1"/>
    <xf numFmtId="0" fontId="10" fillId="2" borderId="12" xfId="0" applyFont="1" applyFill="1" applyBorder="1" applyAlignment="1">
      <alignment horizontal="right"/>
    </xf>
    <xf numFmtId="0" fontId="10" fillId="2" borderId="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0" fillId="2" borderId="7" xfId="0" applyFont="1" applyFill="1" applyBorder="1" applyAlignment="1">
      <alignment horizontal="center" vertical="center"/>
    </xf>
    <xf numFmtId="165" fontId="2" fillId="2" borderId="19" xfId="2" applyNumberFormat="1" applyFont="1" applyFill="1" applyBorder="1" applyAlignment="1" applyProtection="1">
      <alignment horizontal="right"/>
      <protection locked="0"/>
    </xf>
    <xf numFmtId="165" fontId="7" fillId="0" borderId="21" xfId="2" applyNumberFormat="1" applyFont="1" applyFill="1" applyBorder="1" applyAlignment="1" applyProtection="1">
      <alignment horizontal="right"/>
      <protection locked="0"/>
    </xf>
    <xf numFmtId="0" fontId="7" fillId="0" borderId="21" xfId="0" applyFont="1" applyBorder="1" applyAlignment="1">
      <alignment horizontal="center" vertical="center" wrapText="1"/>
    </xf>
    <xf numFmtId="0" fontId="7" fillId="2" borderId="26" xfId="0" applyFont="1" applyFill="1" applyBorder="1" applyAlignment="1" applyProtection="1">
      <alignment horizontal="center" vertical="center"/>
      <protection locked="0"/>
    </xf>
    <xf numFmtId="166" fontId="5" fillId="2" borderId="7" xfId="0" applyNumberFormat="1" applyFont="1" applyFill="1" applyBorder="1" applyAlignment="1">
      <alignment horizontal="center" vertical="center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6" fontId="5" fillId="2" borderId="0" xfId="0" applyNumberFormat="1" applyFont="1" applyFill="1" applyAlignment="1">
      <alignment horizontal="center" vertical="center"/>
    </xf>
    <xf numFmtId="166" fontId="5" fillId="9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 applyProtection="1">
      <alignment horizontal="center" vertical="center"/>
      <protection locked="0"/>
    </xf>
    <xf numFmtId="165" fontId="2" fillId="2" borderId="0" xfId="2" applyNumberFormat="1" applyFont="1" applyFill="1" applyBorder="1" applyAlignment="1" applyProtection="1">
      <alignment horizontal="right" vertical="center"/>
      <protection locked="0"/>
    </xf>
    <xf numFmtId="165" fontId="2" fillId="2" borderId="0" xfId="2" applyNumberFormat="1" applyFont="1" applyFill="1" applyBorder="1" applyAlignment="1">
      <alignment vertical="center"/>
    </xf>
    <xf numFmtId="165" fontId="2" fillId="2" borderId="7" xfId="2" applyNumberFormat="1" applyFont="1" applyFill="1" applyBorder="1" applyAlignment="1">
      <alignment vertical="center"/>
    </xf>
    <xf numFmtId="49" fontId="21" fillId="2" borderId="0" xfId="0" applyNumberFormat="1" applyFont="1" applyFill="1" applyAlignment="1">
      <alignment horizontal="left" vertical="center"/>
    </xf>
    <xf numFmtId="165" fontId="10" fillId="2" borderId="0" xfId="2" applyNumberFormat="1" applyFont="1" applyFill="1" applyBorder="1" applyAlignment="1">
      <alignment vertical="center"/>
    </xf>
    <xf numFmtId="49" fontId="3" fillId="2" borderId="0" xfId="0" applyNumberFormat="1" applyFont="1" applyFill="1" applyAlignment="1">
      <alignment horizontal="left" vertical="center"/>
    </xf>
    <xf numFmtId="165" fontId="10" fillId="2" borderId="7" xfId="2" applyNumberFormat="1" applyFont="1" applyFill="1" applyBorder="1" applyAlignment="1">
      <alignment vertical="center"/>
    </xf>
    <xf numFmtId="0" fontId="10" fillId="2" borderId="37" xfId="0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>
      <alignment vertical="center"/>
    </xf>
    <xf numFmtId="49" fontId="2" fillId="2" borderId="12" xfId="0" applyNumberFormat="1" applyFont="1" applyFill="1" applyBorder="1" applyAlignment="1">
      <alignment vertical="center"/>
    </xf>
    <xf numFmtId="49" fontId="2" fillId="2" borderId="38" xfId="0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0" fillId="2" borderId="0" xfId="0" quotePrefix="1" applyFont="1" applyFill="1" applyAlignment="1">
      <alignment horizontal="right" vertical="center"/>
    </xf>
    <xf numFmtId="0" fontId="2" fillId="2" borderId="39" xfId="0" applyFont="1" applyFill="1" applyBorder="1" applyAlignment="1" applyProtection="1">
      <alignment vertical="center" wrapText="1"/>
      <protection locked="0"/>
    </xf>
    <xf numFmtId="9" fontId="10" fillId="2" borderId="0" xfId="0" applyNumberFormat="1" applyFont="1" applyFill="1" applyAlignment="1">
      <alignment vertical="center"/>
    </xf>
    <xf numFmtId="0" fontId="2" fillId="2" borderId="39" xfId="0" applyFont="1" applyFill="1" applyBorder="1" applyAlignment="1">
      <alignment vertical="center"/>
    </xf>
    <xf numFmtId="0" fontId="5" fillId="2" borderId="0" xfId="0" applyFont="1" applyFill="1" applyAlignment="1">
      <alignment horizontal="right"/>
    </xf>
    <xf numFmtId="0" fontId="5" fillId="2" borderId="7" xfId="0" applyFont="1" applyFill="1" applyBorder="1" applyAlignment="1">
      <alignment horizontal="center"/>
    </xf>
    <xf numFmtId="49" fontId="2" fillId="2" borderId="47" xfId="0" applyNumberFormat="1" applyFont="1" applyFill="1" applyBorder="1" applyAlignment="1" applyProtection="1">
      <alignment horizontal="right" vertical="center"/>
      <protection locked="0"/>
    </xf>
    <xf numFmtId="49" fontId="2" fillId="2" borderId="35" xfId="0" applyNumberFormat="1" applyFont="1" applyFill="1" applyBorder="1" applyProtection="1">
      <protection locked="0"/>
    </xf>
    <xf numFmtId="49" fontId="2" fillId="2" borderId="36" xfId="0" applyNumberFormat="1" applyFont="1" applyFill="1" applyBorder="1" applyProtection="1">
      <protection locked="0"/>
    </xf>
    <xf numFmtId="0" fontId="2" fillId="2" borderId="26" xfId="0" applyFont="1" applyFill="1" applyBorder="1" applyAlignment="1" applyProtection="1">
      <alignment horizontal="center" vertical="center"/>
      <protection locked="0"/>
    </xf>
    <xf numFmtId="165" fontId="7" fillId="2" borderId="21" xfId="2" applyNumberFormat="1" applyFont="1" applyFill="1" applyBorder="1" applyAlignment="1" applyProtection="1">
      <alignment horizontal="right"/>
      <protection locked="0"/>
    </xf>
    <xf numFmtId="0" fontId="2" fillId="2" borderId="36" xfId="0" applyFont="1" applyFill="1" applyBorder="1"/>
    <xf numFmtId="0" fontId="7" fillId="2" borderId="33" xfId="0" applyFont="1" applyFill="1" applyBorder="1" applyAlignment="1" applyProtection="1">
      <alignment horizontal="center" vertical="center"/>
      <protection locked="0"/>
    </xf>
    <xf numFmtId="0" fontId="2" fillId="2" borderId="25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5" fillId="2" borderId="7" xfId="0" applyFont="1" applyFill="1" applyBorder="1" applyAlignment="1">
      <alignment vertical="center"/>
    </xf>
    <xf numFmtId="0" fontId="5" fillId="2" borderId="34" xfId="0" applyFont="1" applyFill="1" applyBorder="1"/>
    <xf numFmtId="0" fontId="5" fillId="2" borderId="35" xfId="0" applyFont="1" applyFill="1" applyBorder="1"/>
    <xf numFmtId="0" fontId="5" fillId="2" borderId="35" xfId="0" applyFont="1" applyFill="1" applyBorder="1" applyAlignment="1">
      <alignment horizontal="right"/>
    </xf>
    <xf numFmtId="0" fontId="5" fillId="2" borderId="36" xfId="0" applyFont="1" applyFill="1" applyBorder="1"/>
    <xf numFmtId="167" fontId="10" fillId="2" borderId="0" xfId="0" applyNumberFormat="1" applyFont="1" applyFill="1" applyAlignment="1">
      <alignment horizontal="right" vertical="center"/>
    </xf>
    <xf numFmtId="167" fontId="2" fillId="2" borderId="2" xfId="0" applyNumberFormat="1" applyFont="1" applyFill="1" applyBorder="1" applyAlignment="1">
      <alignment horizontal="right" vertical="center"/>
    </xf>
    <xf numFmtId="167" fontId="2" fillId="2" borderId="0" xfId="2" applyNumberFormat="1" applyFont="1" applyFill="1" applyBorder="1" applyAlignment="1" applyProtection="1">
      <alignment horizontal="right" vertical="center"/>
      <protection locked="0"/>
    </xf>
    <xf numFmtId="165" fontId="7" fillId="0" borderId="21" xfId="2" applyNumberFormat="1" applyFont="1" applyFill="1" applyBorder="1" applyAlignment="1" applyProtection="1">
      <protection locked="0"/>
    </xf>
    <xf numFmtId="165" fontId="7" fillId="0" borderId="24" xfId="2" applyNumberFormat="1" applyFont="1" applyFill="1" applyBorder="1" applyAlignment="1" applyProtection="1">
      <alignment horizontal="right"/>
      <protection locked="0"/>
    </xf>
    <xf numFmtId="165" fontId="2" fillId="2" borderId="0" xfId="2" applyNumberFormat="1" applyFont="1" applyFill="1" applyBorder="1" applyAlignment="1" applyProtection="1">
      <alignment horizontal="right"/>
      <protection locked="0"/>
    </xf>
    <xf numFmtId="49" fontId="9" fillId="2" borderId="21" xfId="0" applyNumberFormat="1" applyFont="1" applyFill="1" applyBorder="1" applyAlignment="1">
      <alignment horizontal="right" wrapText="1"/>
    </xf>
    <xf numFmtId="165" fontId="2" fillId="2" borderId="19" xfId="2" applyNumberFormat="1" applyFont="1" applyFill="1" applyBorder="1" applyAlignment="1">
      <alignment vertical="center"/>
    </xf>
    <xf numFmtId="49" fontId="2" fillId="2" borderId="0" xfId="0" applyNumberFormat="1" applyFont="1" applyFill="1" applyAlignment="1" applyProtection="1">
      <alignment horizontal="left" vertical="center"/>
      <protection locked="0"/>
    </xf>
    <xf numFmtId="0" fontId="2" fillId="2" borderId="57" xfId="0" applyFont="1" applyFill="1" applyBorder="1"/>
    <xf numFmtId="165" fontId="7" fillId="0" borderId="54" xfId="2" applyNumberFormat="1" applyFont="1" applyFill="1" applyBorder="1" applyAlignment="1" applyProtection="1">
      <alignment horizontal="right"/>
      <protection locked="0"/>
    </xf>
    <xf numFmtId="1" fontId="7" fillId="0" borderId="31" xfId="0" applyNumberFormat="1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2" fillId="0" borderId="51" xfId="0" applyFont="1" applyBorder="1" applyAlignment="1" applyProtection="1">
      <alignment horizontal="center" vertical="center"/>
      <protection locked="0"/>
    </xf>
    <xf numFmtId="166" fontId="2" fillId="0" borderId="54" xfId="0" quotePrefix="1" applyNumberFormat="1" applyFont="1" applyBorder="1" applyAlignment="1">
      <alignment horizontal="right"/>
    </xf>
    <xf numFmtId="165" fontId="2" fillId="2" borderId="43" xfId="2" applyNumberFormat="1" applyFont="1" applyFill="1" applyBorder="1" applyAlignment="1">
      <alignment vertical="center"/>
    </xf>
    <xf numFmtId="49" fontId="17" fillId="2" borderId="7" xfId="0" applyNumberFormat="1" applyFont="1" applyFill="1" applyBorder="1" applyAlignment="1">
      <alignment horizontal="left" vertical="center"/>
    </xf>
    <xf numFmtId="1" fontId="7" fillId="2" borderId="31" xfId="0" applyNumberFormat="1" applyFont="1" applyFill="1" applyBorder="1" applyAlignment="1">
      <alignment horizontal="center" vertical="center" wrapText="1"/>
    </xf>
    <xf numFmtId="166" fontId="5" fillId="2" borderId="25" xfId="0" applyNumberFormat="1" applyFont="1" applyFill="1" applyBorder="1" applyAlignment="1">
      <alignment horizontal="center" vertical="center"/>
    </xf>
    <xf numFmtId="165" fontId="2" fillId="2" borderId="0" xfId="2" applyNumberFormat="1" applyFont="1" applyFill="1" applyBorder="1" applyAlignment="1" applyProtection="1">
      <alignment horizontal="left" vertical="center"/>
      <protection locked="0"/>
    </xf>
    <xf numFmtId="165" fontId="2" fillId="2" borderId="0" xfId="2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2" fillId="2" borderId="58" xfId="0" applyFont="1" applyFill="1" applyBorder="1"/>
    <xf numFmtId="0" fontId="2" fillId="2" borderId="25" xfId="0" applyFont="1" applyFill="1" applyBorder="1" applyAlignment="1">
      <alignment horizontal="left" vertical="center"/>
    </xf>
    <xf numFmtId="1" fontId="7" fillId="2" borderId="20" xfId="0" applyNumberFormat="1" applyFont="1" applyFill="1" applyBorder="1" applyAlignment="1" applyProtection="1">
      <alignment horizontal="center" vertical="center"/>
      <protection locked="0"/>
    </xf>
    <xf numFmtId="0" fontId="2" fillId="2" borderId="60" xfId="0" applyFont="1" applyFill="1" applyBorder="1" applyAlignment="1" applyProtection="1">
      <alignment horizontal="center" vertical="center"/>
      <protection locked="0"/>
    </xf>
    <xf numFmtId="165" fontId="2" fillId="2" borderId="59" xfId="2" applyNumberFormat="1" applyFont="1" applyFill="1" applyBorder="1" applyAlignment="1" applyProtection="1">
      <alignment horizontal="right"/>
      <protection locked="0"/>
    </xf>
    <xf numFmtId="49" fontId="17" fillId="2" borderId="0" xfId="0" applyNumberFormat="1" applyFont="1" applyFill="1" applyAlignment="1" applyProtection="1">
      <alignment horizontal="left" vertical="center"/>
      <protection locked="0"/>
    </xf>
    <xf numFmtId="0" fontId="16" fillId="2" borderId="0" xfId="0" applyFont="1" applyFill="1" applyAlignment="1">
      <alignment vertical="center"/>
    </xf>
    <xf numFmtId="0" fontId="7" fillId="2" borderId="31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/>
    </xf>
    <xf numFmtId="0" fontId="0" fillId="7" borderId="0" xfId="0" applyFill="1"/>
    <xf numFmtId="1" fontId="7" fillId="2" borderId="27" xfId="0" applyNumberFormat="1" applyFont="1" applyFill="1" applyBorder="1" applyAlignment="1" applyProtection="1">
      <alignment horizontal="center" vertical="center"/>
      <protection locked="0"/>
    </xf>
    <xf numFmtId="0" fontId="2" fillId="2" borderId="44" xfId="0" applyFont="1" applyFill="1" applyBorder="1" applyAlignment="1">
      <alignment vertical="center"/>
    </xf>
    <xf numFmtId="165" fontId="7" fillId="2" borderId="30" xfId="2" applyNumberFormat="1" applyFont="1" applyFill="1" applyBorder="1" applyAlignment="1"/>
    <xf numFmtId="165" fontId="7" fillId="2" borderId="28" xfId="2" applyNumberFormat="1" applyFont="1" applyFill="1" applyBorder="1" applyAlignment="1"/>
    <xf numFmtId="166" fontId="7" fillId="2" borderId="53" xfId="0" applyNumberFormat="1" applyFont="1" applyFill="1" applyBorder="1" applyAlignment="1">
      <alignment horizontal="right" vertical="center" wrapText="1"/>
    </xf>
    <xf numFmtId="0" fontId="7" fillId="2" borderId="45" xfId="0" applyFont="1" applyFill="1" applyBorder="1" applyAlignment="1" applyProtection="1">
      <alignment horizontal="center" vertical="center"/>
      <protection locked="0"/>
    </xf>
    <xf numFmtId="166" fontId="5" fillId="2" borderId="44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22" fillId="2" borderId="31" xfId="0" applyFont="1" applyFill="1" applyBorder="1" applyAlignment="1" applyProtection="1">
      <alignment horizontal="center" vertical="center"/>
      <protection locked="0"/>
    </xf>
    <xf numFmtId="165" fontId="22" fillId="2" borderId="21" xfId="2" applyNumberFormat="1" applyFont="1" applyFill="1" applyBorder="1" applyAlignment="1" applyProtection="1">
      <alignment horizontal="right"/>
      <protection locked="0"/>
    </xf>
    <xf numFmtId="0" fontId="1" fillId="2" borderId="7" xfId="0" applyFont="1" applyFill="1" applyBorder="1"/>
    <xf numFmtId="166" fontId="23" fillId="2" borderId="21" xfId="0" applyNumberFormat="1" applyFont="1" applyFill="1" applyBorder="1" applyAlignment="1">
      <alignment horizontal="center" vertical="center"/>
    </xf>
    <xf numFmtId="0" fontId="23" fillId="2" borderId="0" xfId="0" applyFont="1" applyFill="1"/>
    <xf numFmtId="0" fontId="1" fillId="2" borderId="25" xfId="0" applyFont="1" applyFill="1" applyBorder="1"/>
    <xf numFmtId="166" fontId="23" fillId="2" borderId="0" xfId="0" applyNumberFormat="1" applyFont="1" applyFill="1" applyAlignment="1">
      <alignment horizontal="center" vertical="center"/>
    </xf>
    <xf numFmtId="0" fontId="10" fillId="2" borderId="35" xfId="0" applyFont="1" applyFill="1" applyBorder="1" applyAlignment="1">
      <alignment horizontal="right" vertical="center"/>
    </xf>
    <xf numFmtId="0" fontId="16" fillId="5" borderId="18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right" vertical="center"/>
    </xf>
    <xf numFmtId="49" fontId="7" fillId="2" borderId="28" xfId="0" applyNumberFormat="1" applyFont="1" applyFill="1" applyBorder="1" applyAlignment="1">
      <alignment horizontal="left" vertical="center" wrapText="1"/>
    </xf>
    <xf numFmtId="49" fontId="7" fillId="2" borderId="29" xfId="0" applyNumberFormat="1" applyFont="1" applyFill="1" applyBorder="1" applyAlignment="1">
      <alignment horizontal="left" vertical="center" wrapText="1"/>
    </xf>
    <xf numFmtId="49" fontId="7" fillId="2" borderId="20" xfId="0" applyNumberFormat="1" applyFont="1" applyFill="1" applyBorder="1" applyAlignment="1">
      <alignment horizontal="left" vertical="center" wrapText="1"/>
    </xf>
    <xf numFmtId="0" fontId="2" fillId="2" borderId="4" xfId="0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49" fontId="2" fillId="2" borderId="0" xfId="0" applyNumberFormat="1" applyFont="1" applyFill="1" applyAlignment="1">
      <alignment horizontal="left" vertical="center" wrapText="1"/>
    </xf>
    <xf numFmtId="49" fontId="8" fillId="2" borderId="28" xfId="0" applyNumberFormat="1" applyFont="1" applyFill="1" applyBorder="1" applyAlignment="1">
      <alignment horizontal="left" vertical="center" wrapText="1"/>
    </xf>
    <xf numFmtId="49" fontId="8" fillId="2" borderId="29" xfId="0" applyNumberFormat="1" applyFont="1" applyFill="1" applyBorder="1" applyAlignment="1">
      <alignment horizontal="left" vertical="center" wrapText="1"/>
    </xf>
    <xf numFmtId="49" fontId="8" fillId="2" borderId="20" xfId="0" applyNumberFormat="1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/>
    </xf>
    <xf numFmtId="9" fontId="5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49" fontId="7" fillId="0" borderId="0" xfId="0" applyNumberFormat="1" applyFont="1" applyAlignment="1">
      <alignment horizontal="center"/>
    </xf>
    <xf numFmtId="165" fontId="5" fillId="2" borderId="0" xfId="0" applyNumberFormat="1" applyFont="1" applyFill="1" applyAlignment="1">
      <alignment horizontal="center"/>
    </xf>
    <xf numFmtId="0" fontId="5" fillId="9" borderId="0" xfId="0" applyFon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23" fillId="9" borderId="0" xfId="0" applyNumberFormat="1" applyFont="1" applyFill="1" applyAlignment="1">
      <alignment horizontal="center"/>
    </xf>
    <xf numFmtId="166" fontId="5" fillId="10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/>
    </xf>
    <xf numFmtId="166" fontId="5" fillId="4" borderId="0" xfId="0" applyNumberFormat="1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166" fontId="23" fillId="10" borderId="0" xfId="0" applyNumberFormat="1" applyFont="1" applyFill="1" applyAlignment="1">
      <alignment horizontal="center"/>
    </xf>
    <xf numFmtId="166" fontId="5" fillId="2" borderId="0" xfId="0" applyNumberFormat="1" applyFont="1" applyFill="1" applyAlignment="1">
      <alignment horizontal="center"/>
    </xf>
    <xf numFmtId="0" fontId="5" fillId="0" borderId="0" xfId="0" applyFont="1"/>
    <xf numFmtId="0" fontId="7" fillId="0" borderId="0" xfId="0" applyFont="1"/>
    <xf numFmtId="165" fontId="5" fillId="0" borderId="0" xfId="0" applyNumberFormat="1" applyFont="1"/>
    <xf numFmtId="49" fontId="7" fillId="0" borderId="0" xfId="0" applyNumberFormat="1" applyFont="1"/>
    <xf numFmtId="166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2" fillId="0" borderId="0" xfId="0" applyFont="1"/>
    <xf numFmtId="165" fontId="5" fillId="6" borderId="0" xfId="0" applyNumberFormat="1" applyFont="1" applyFill="1" applyAlignment="1">
      <alignment horizontal="center"/>
    </xf>
    <xf numFmtId="165" fontId="7" fillId="6" borderId="21" xfId="2" applyNumberFormat="1" applyFont="1" applyFill="1" applyBorder="1" applyAlignment="1" applyProtection="1">
      <protection locked="0"/>
    </xf>
    <xf numFmtId="165" fontId="7" fillId="2" borderId="21" xfId="2" applyNumberFormat="1" applyFont="1" applyFill="1" applyBorder="1" applyAlignment="1" applyProtection="1">
      <protection locked="0"/>
    </xf>
    <xf numFmtId="0" fontId="6" fillId="2" borderId="0" xfId="0" applyFont="1" applyFill="1" applyAlignment="1">
      <alignment horizontal="center"/>
    </xf>
    <xf numFmtId="49" fontId="7" fillId="2" borderId="0" xfId="0" applyNumberFormat="1" applyFont="1" applyFill="1" applyAlignment="1">
      <alignment horizontal="center"/>
    </xf>
    <xf numFmtId="49" fontId="7" fillId="7" borderId="0" xfId="0" applyNumberFormat="1" applyFont="1" applyFill="1" applyAlignment="1">
      <alignment horizontal="center"/>
    </xf>
    <xf numFmtId="0" fontId="7" fillId="6" borderId="0" xfId="0" applyFont="1" applyFill="1"/>
    <xf numFmtId="0" fontId="7" fillId="0" borderId="51" xfId="0" applyFont="1" applyBorder="1" applyAlignment="1">
      <alignment horizontal="center" vertical="center" wrapText="1"/>
    </xf>
    <xf numFmtId="0" fontId="2" fillId="2" borderId="66" xfId="0" applyFont="1" applyFill="1" applyBorder="1"/>
    <xf numFmtId="0" fontId="7" fillId="2" borderId="34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8" fillId="2" borderId="35" xfId="0" applyNumberFormat="1" applyFont="1" applyFill="1" applyBorder="1" applyAlignment="1">
      <alignment horizontal="left" vertical="center" wrapText="1"/>
    </xf>
    <xf numFmtId="166" fontId="7" fillId="2" borderId="35" xfId="0" applyNumberFormat="1" applyFont="1" applyFill="1" applyBorder="1" applyAlignment="1">
      <alignment horizontal="right" vertical="center" wrapText="1"/>
    </xf>
    <xf numFmtId="165" fontId="7" fillId="2" borderId="35" xfId="2" applyNumberFormat="1" applyFont="1" applyFill="1" applyBorder="1" applyAlignment="1"/>
    <xf numFmtId="165" fontId="7" fillId="2" borderId="36" xfId="2" applyNumberFormat="1" applyFont="1" applyFill="1" applyBorder="1" applyAlignment="1"/>
    <xf numFmtId="1" fontId="7" fillId="2" borderId="31" xfId="0" applyNumberFormat="1" applyFont="1" applyFill="1" applyBorder="1" applyAlignment="1" applyProtection="1">
      <alignment horizontal="center" vertical="center"/>
      <protection locked="0"/>
    </xf>
    <xf numFmtId="166" fontId="5" fillId="4" borderId="14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vertical="center"/>
    </xf>
    <xf numFmtId="0" fontId="10" fillId="2" borderId="3" xfId="0" applyFont="1" applyFill="1" applyBorder="1" applyAlignment="1">
      <alignment horizontal="center" vertical="center"/>
    </xf>
    <xf numFmtId="1" fontId="7" fillId="0" borderId="51" xfId="0" applyNumberFormat="1" applyFont="1" applyBorder="1" applyAlignment="1">
      <alignment horizontal="center" vertical="center" wrapText="1"/>
    </xf>
    <xf numFmtId="166" fontId="5" fillId="12" borderId="0" xfId="0" applyNumberFormat="1" applyFont="1" applyFill="1" applyAlignment="1">
      <alignment horizontal="center"/>
    </xf>
    <xf numFmtId="166" fontId="5" fillId="13" borderId="0" xfId="0" applyNumberFormat="1" applyFont="1" applyFill="1" applyAlignment="1">
      <alignment horizontal="center"/>
    </xf>
    <xf numFmtId="0" fontId="2" fillId="2" borderId="4" xfId="0" applyFont="1" applyFill="1" applyBorder="1" applyAlignment="1" applyProtection="1">
      <alignment vertical="center"/>
      <protection locked="0"/>
    </xf>
    <xf numFmtId="0" fontId="2" fillId="2" borderId="0" xfId="0" applyFont="1" applyFill="1" applyAlignment="1" applyProtection="1">
      <alignment vertical="center"/>
      <protection locked="0"/>
    </xf>
    <xf numFmtId="49" fontId="9" fillId="2" borderId="54" xfId="0" applyNumberFormat="1" applyFont="1" applyFill="1" applyBorder="1" applyAlignment="1">
      <alignment horizontal="right" wrapText="1"/>
    </xf>
    <xf numFmtId="0" fontId="7" fillId="0" borderId="0" xfId="0" applyFont="1" applyAlignment="1">
      <alignment horizontal="center"/>
    </xf>
    <xf numFmtId="166" fontId="23" fillId="2" borderId="0" xfId="0" applyNumberFormat="1" applyFont="1" applyFill="1" applyAlignment="1">
      <alignment horizontal="center"/>
    </xf>
    <xf numFmtId="166" fontId="2" fillId="2" borderId="0" xfId="0" applyNumberFormat="1" applyFont="1" applyFill="1" applyAlignment="1">
      <alignment horizontal="center" vertical="center"/>
    </xf>
    <xf numFmtId="165" fontId="5" fillId="10" borderId="0" xfId="0" applyNumberFormat="1" applyFont="1" applyFill="1" applyAlignment="1">
      <alignment horizontal="center"/>
    </xf>
    <xf numFmtId="0" fontId="5" fillId="10" borderId="0" xfId="0" applyFont="1" applyFill="1"/>
    <xf numFmtId="166" fontId="5" fillId="2" borderId="20" xfId="0" applyNumberFormat="1" applyFont="1" applyFill="1" applyBorder="1" applyAlignment="1">
      <alignment horizontal="center" vertical="center"/>
    </xf>
    <xf numFmtId="1" fontId="7" fillId="0" borderId="20" xfId="0" applyNumberFormat="1" applyFont="1" applyBorder="1" applyAlignment="1">
      <alignment horizontal="center" vertical="center" wrapText="1"/>
    </xf>
    <xf numFmtId="0" fontId="7" fillId="2" borderId="19" xfId="0" applyFont="1" applyFill="1" applyBorder="1" applyAlignment="1" applyProtection="1">
      <alignment horizontal="center" vertical="center"/>
      <protection locked="0"/>
    </xf>
    <xf numFmtId="0" fontId="5" fillId="2" borderId="35" xfId="0" applyFont="1" applyFill="1" applyBorder="1" applyAlignment="1">
      <alignment horizontal="center"/>
    </xf>
    <xf numFmtId="166" fontId="5" fillId="2" borderId="35" xfId="0" applyNumberFormat="1" applyFont="1" applyFill="1" applyBorder="1" applyAlignment="1">
      <alignment horizontal="center"/>
    </xf>
    <xf numFmtId="0" fontId="5" fillId="9" borderId="35" xfId="0" applyFont="1" applyFill="1" applyBorder="1" applyAlignment="1">
      <alignment horizontal="center"/>
    </xf>
    <xf numFmtId="0" fontId="5" fillId="10" borderId="35" xfId="0" applyFont="1" applyFill="1" applyBorder="1" applyAlignment="1">
      <alignment horizontal="center"/>
    </xf>
    <xf numFmtId="165" fontId="7" fillId="2" borderId="24" xfId="2" applyNumberFormat="1" applyFont="1" applyFill="1" applyBorder="1" applyAlignment="1" applyProtection="1">
      <alignment horizontal="right"/>
      <protection locked="0"/>
    </xf>
    <xf numFmtId="165" fontId="7" fillId="2" borderId="54" xfId="2" applyNumberFormat="1" applyFont="1" applyFill="1" applyBorder="1" applyAlignment="1" applyProtection="1">
      <alignment horizontal="right"/>
      <protection locked="0"/>
    </xf>
    <xf numFmtId="0" fontId="24" fillId="2" borderId="0" xfId="0" applyFont="1" applyFill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center"/>
    </xf>
    <xf numFmtId="165" fontId="15" fillId="2" borderId="21" xfId="2" applyNumberFormat="1" applyFont="1" applyFill="1" applyBorder="1" applyAlignment="1" applyProtection="1">
      <alignment horizontal="right"/>
      <protection locked="0"/>
    </xf>
    <xf numFmtId="166" fontId="25" fillId="9" borderId="0" xfId="0" applyNumberFormat="1" applyFont="1" applyFill="1" applyAlignment="1">
      <alignment horizontal="center"/>
    </xf>
    <xf numFmtId="166" fontId="25" fillId="10" borderId="0" xfId="0" applyNumberFormat="1" applyFont="1" applyFill="1" applyAlignment="1">
      <alignment horizontal="center"/>
    </xf>
    <xf numFmtId="1" fontId="0" fillId="7" borderId="0" xfId="0" applyNumberFormat="1" applyFill="1"/>
    <xf numFmtId="165" fontId="7" fillId="2" borderId="52" xfId="2" applyNumberFormat="1" applyFont="1" applyFill="1" applyBorder="1" applyAlignment="1">
      <alignment horizontal="right"/>
    </xf>
    <xf numFmtId="165" fontId="7" fillId="2" borderId="67" xfId="2" applyNumberFormat="1" applyFont="1" applyFill="1" applyBorder="1" applyAlignment="1">
      <alignment horizontal="right"/>
    </xf>
    <xf numFmtId="166" fontId="5" fillId="15" borderId="20" xfId="0" applyNumberFormat="1" applyFont="1" applyFill="1" applyBorder="1" applyAlignment="1">
      <alignment horizontal="center" vertical="center"/>
    </xf>
    <xf numFmtId="166" fontId="5" fillId="2" borderId="21" xfId="0" applyNumberFormat="1" applyFont="1" applyFill="1" applyBorder="1" applyAlignment="1">
      <alignment horizontal="center" vertical="center"/>
    </xf>
    <xf numFmtId="166" fontId="5" fillId="10" borderId="0" xfId="0" applyNumberFormat="1" applyFont="1" applyFill="1" applyAlignment="1">
      <alignment horizontal="center"/>
    </xf>
    <xf numFmtId="166" fontId="5" fillId="10" borderId="21" xfId="0" applyNumberFormat="1" applyFont="1" applyFill="1" applyBorder="1" applyAlignment="1">
      <alignment horizontal="center" vertical="center"/>
    </xf>
    <xf numFmtId="166" fontId="5" fillId="6" borderId="0" xfId="0" applyNumberFormat="1" applyFont="1" applyFill="1" applyAlignment="1">
      <alignment horizontal="center"/>
    </xf>
    <xf numFmtId="166" fontId="5" fillId="11" borderId="14" xfId="0" applyNumberFormat="1" applyFont="1" applyFill="1" applyBorder="1" applyAlignment="1">
      <alignment horizontal="center"/>
    </xf>
    <xf numFmtId="49" fontId="2" fillId="2" borderId="25" xfId="0" applyNumberFormat="1" applyFont="1" applyFill="1" applyBorder="1" applyAlignment="1">
      <alignment horizontal="left" vertical="center"/>
    </xf>
    <xf numFmtId="166" fontId="5" fillId="11" borderId="0" xfId="0" applyNumberFormat="1" applyFont="1" applyFill="1" applyAlignment="1">
      <alignment horizontal="center"/>
    </xf>
    <xf numFmtId="166" fontId="5" fillId="14" borderId="0" xfId="0" applyNumberFormat="1" applyFont="1" applyFill="1" applyAlignment="1">
      <alignment horizontal="center"/>
    </xf>
    <xf numFmtId="0" fontId="5" fillId="14" borderId="0" xfId="0" applyFont="1" applyFill="1"/>
    <xf numFmtId="0" fontId="2" fillId="0" borderId="34" xfId="0" applyFont="1" applyBorder="1" applyAlignment="1" applyProtection="1">
      <alignment horizontal="center" vertical="center"/>
      <protection locked="0"/>
    </xf>
    <xf numFmtId="49" fontId="7" fillId="0" borderId="35" xfId="0" applyNumberFormat="1" applyFont="1" applyBorder="1" applyAlignment="1">
      <alignment horizontal="left" vertical="center" wrapText="1"/>
    </xf>
    <xf numFmtId="166" fontId="2" fillId="0" borderId="35" xfId="0" quotePrefix="1" applyNumberFormat="1" applyFont="1" applyBorder="1" applyAlignment="1">
      <alignment horizontal="right"/>
    </xf>
    <xf numFmtId="165" fontId="7" fillId="0" borderId="35" xfId="2" applyNumberFormat="1" applyFont="1" applyFill="1" applyBorder="1" applyAlignment="1"/>
    <xf numFmtId="165" fontId="7" fillId="0" borderId="36" xfId="2" applyNumberFormat="1" applyFont="1" applyFill="1" applyBorder="1" applyAlignment="1"/>
    <xf numFmtId="0" fontId="2" fillId="0" borderId="68" xfId="0" applyFont="1" applyBorder="1" applyAlignment="1" applyProtection="1">
      <alignment horizontal="center" vertical="center"/>
      <protection locked="0"/>
    </xf>
    <xf numFmtId="165" fontId="7" fillId="2" borderId="20" xfId="2" applyNumberFormat="1" applyFont="1" applyFill="1" applyBorder="1" applyAlignment="1" applyProtection="1">
      <alignment horizontal="right"/>
      <protection locked="0"/>
    </xf>
    <xf numFmtId="166" fontId="2" fillId="0" borderId="61" xfId="0" quotePrefix="1" applyNumberFormat="1" applyFont="1" applyBorder="1" applyAlignment="1">
      <alignment horizontal="right"/>
    </xf>
    <xf numFmtId="49" fontId="7" fillId="2" borderId="35" xfId="0" applyNumberFormat="1" applyFont="1" applyFill="1" applyBorder="1" applyAlignment="1">
      <alignment horizontal="left" vertical="center" wrapText="1"/>
    </xf>
    <xf numFmtId="165" fontId="7" fillId="2" borderId="65" xfId="2" applyNumberFormat="1" applyFont="1" applyFill="1" applyBorder="1" applyAlignment="1"/>
    <xf numFmtId="166" fontId="25" fillId="2" borderId="0" xfId="0" applyNumberFormat="1" applyFont="1" applyFill="1" applyAlignment="1">
      <alignment horizontal="center"/>
    </xf>
    <xf numFmtId="165" fontId="7" fillId="2" borderId="28" xfId="2" applyNumberFormat="1" applyFont="1" applyFill="1" applyBorder="1" applyAlignment="1">
      <alignment horizontal="right"/>
    </xf>
    <xf numFmtId="165" fontId="7" fillId="2" borderId="30" xfId="2" applyNumberFormat="1" applyFont="1" applyFill="1" applyBorder="1" applyAlignment="1">
      <alignment horizontal="right"/>
    </xf>
    <xf numFmtId="0" fontId="16" fillId="5" borderId="50" xfId="0" applyFont="1" applyFill="1" applyBorder="1" applyAlignment="1">
      <alignment horizontal="center" vertical="center"/>
    </xf>
    <xf numFmtId="49" fontId="7" fillId="2" borderId="52" xfId="0" applyNumberFormat="1" applyFont="1" applyFill="1" applyBorder="1" applyAlignment="1">
      <alignment horizontal="left" vertical="center" wrapText="1"/>
    </xf>
    <xf numFmtId="49" fontId="7" fillId="2" borderId="46" xfId="0" applyNumberFormat="1" applyFont="1" applyFill="1" applyBorder="1" applyAlignment="1">
      <alignment horizontal="left" vertical="center" wrapText="1"/>
    </xf>
    <xf numFmtId="49" fontId="7" fillId="2" borderId="53" xfId="0" applyNumberFormat="1" applyFont="1" applyFill="1" applyBorder="1" applyAlignment="1">
      <alignment horizontal="left" vertical="center" wrapText="1"/>
    </xf>
    <xf numFmtId="0" fontId="5" fillId="9" borderId="0" xfId="0" applyFont="1" applyFill="1"/>
    <xf numFmtId="0" fontId="5" fillId="3" borderId="0" xfId="0" applyFont="1" applyFill="1"/>
    <xf numFmtId="166" fontId="5" fillId="4" borderId="0" xfId="0" applyNumberFormat="1" applyFont="1" applyFill="1"/>
    <xf numFmtId="166" fontId="5" fillId="10" borderId="0" xfId="0" applyNumberFormat="1" applyFont="1" applyFill="1"/>
    <xf numFmtId="166" fontId="5" fillId="15" borderId="20" xfId="0" applyNumberFormat="1" applyFont="1" applyFill="1" applyBorder="1" applyAlignment="1">
      <alignment vertical="center"/>
    </xf>
    <xf numFmtId="166" fontId="5" fillId="11" borderId="0" xfId="0" applyNumberFormat="1" applyFont="1" applyFill="1"/>
    <xf numFmtId="166" fontId="5" fillId="6" borderId="0" xfId="0" applyNumberFormat="1" applyFont="1" applyFill="1"/>
    <xf numFmtId="0" fontId="5" fillId="3" borderId="35" xfId="0" applyFont="1" applyFill="1" applyBorder="1"/>
    <xf numFmtId="49" fontId="17" fillId="2" borderId="0" xfId="0" applyNumberFormat="1" applyFont="1" applyFill="1" applyAlignment="1">
      <alignment vertical="center"/>
    </xf>
    <xf numFmtId="49" fontId="12" fillId="2" borderId="28" xfId="0" applyNumberFormat="1" applyFont="1" applyFill="1" applyBorder="1" applyAlignment="1">
      <alignment horizontal="left" vertical="center" wrapText="1"/>
    </xf>
    <xf numFmtId="49" fontId="12" fillId="2" borderId="29" xfId="0" applyNumberFormat="1" applyFont="1" applyFill="1" applyBorder="1" applyAlignment="1">
      <alignment horizontal="left" vertical="center" wrapText="1"/>
    </xf>
    <xf numFmtId="49" fontId="12" fillId="2" borderId="20" xfId="0" applyNumberFormat="1" applyFont="1" applyFill="1" applyBorder="1" applyAlignment="1">
      <alignment horizontal="left" vertical="center" wrapText="1"/>
    </xf>
    <xf numFmtId="0" fontId="26" fillId="0" borderId="0" xfId="0" applyFont="1"/>
    <xf numFmtId="3" fontId="0" fillId="0" borderId="0" xfId="0" applyNumberFormat="1"/>
    <xf numFmtId="0" fontId="7" fillId="2" borderId="68" xfId="0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/>
    <xf numFmtId="0" fontId="2" fillId="2" borderId="0" xfId="0" applyFont="1" applyFill="1" applyAlignment="1" applyProtection="1">
      <alignment horizontal="center" vertical="center"/>
      <protection locked="0"/>
    </xf>
    <xf numFmtId="166" fontId="1" fillId="2" borderId="0" xfId="0" applyNumberFormat="1" applyFont="1" applyFill="1" applyAlignment="1">
      <alignment horizontal="center" vertical="center"/>
    </xf>
    <xf numFmtId="0" fontId="1" fillId="2" borderId="0" xfId="0" applyFont="1" applyFill="1"/>
    <xf numFmtId="0" fontId="2" fillId="2" borderId="7" xfId="0" applyFont="1" applyFill="1" applyBorder="1" applyAlignment="1">
      <alignment horizontal="center"/>
    </xf>
    <xf numFmtId="49" fontId="1" fillId="2" borderId="11" xfId="0" applyNumberFormat="1" applyFont="1" applyFill="1" applyBorder="1" applyAlignment="1">
      <alignment vertical="center"/>
    </xf>
    <xf numFmtId="49" fontId="1" fillId="2" borderId="12" xfId="0" applyNumberFormat="1" applyFont="1" applyFill="1" applyBorder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 applyProtection="1">
      <alignment horizontal="left" vertical="center"/>
      <protection locked="0"/>
    </xf>
    <xf numFmtId="0" fontId="28" fillId="2" borderId="75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165" fontId="2" fillId="2" borderId="74" xfId="2" applyNumberFormat="1" applyFont="1" applyFill="1" applyBorder="1" applyAlignment="1">
      <alignment vertical="center"/>
    </xf>
    <xf numFmtId="0" fontId="7" fillId="2" borderId="35" xfId="0" applyFont="1" applyFill="1" applyBorder="1" applyAlignment="1" applyProtection="1">
      <alignment horizontal="center" vertical="center"/>
      <protection locked="0"/>
    </xf>
    <xf numFmtId="4" fontId="10" fillId="2" borderId="0" xfId="2" applyNumberFormat="1" applyFont="1" applyFill="1" applyBorder="1" applyAlignment="1">
      <alignment vertical="center"/>
    </xf>
    <xf numFmtId="1" fontId="22" fillId="2" borderId="72" xfId="0" applyNumberFormat="1" applyFont="1" applyFill="1" applyBorder="1" applyAlignment="1">
      <alignment horizontal="center" vertical="center" wrapText="1" shrinkToFit="1"/>
    </xf>
    <xf numFmtId="0" fontId="1" fillId="2" borderId="66" xfId="0" applyFont="1" applyFill="1" applyBorder="1"/>
    <xf numFmtId="49" fontId="10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 applyProtection="1">
      <alignment vertical="center" wrapText="1"/>
      <protection locked="0"/>
    </xf>
    <xf numFmtId="165" fontId="7" fillId="2" borderId="72" xfId="2" applyNumberFormat="1" applyFont="1" applyFill="1" applyBorder="1" applyAlignment="1" applyProtection="1">
      <alignment horizontal="right" vertical="center"/>
      <protection locked="0"/>
    </xf>
    <xf numFmtId="0" fontId="10" fillId="2" borderId="75" xfId="0" applyFont="1" applyFill="1" applyBorder="1"/>
    <xf numFmtId="0" fontId="5" fillId="2" borderId="49" xfId="0" applyFont="1" applyFill="1" applyBorder="1"/>
    <xf numFmtId="0" fontId="5" fillId="2" borderId="49" xfId="0" applyFont="1" applyFill="1" applyBorder="1" applyAlignment="1">
      <alignment horizontal="right"/>
    </xf>
    <xf numFmtId="0" fontId="5" fillId="2" borderId="2" xfId="0" applyFont="1" applyFill="1" applyBorder="1"/>
    <xf numFmtId="0" fontId="5" fillId="2" borderId="1" xfId="0" applyFont="1" applyFill="1" applyBorder="1"/>
    <xf numFmtId="0" fontId="5" fillId="2" borderId="34" xfId="0" applyFont="1" applyFill="1" applyBorder="1" applyAlignment="1">
      <alignment vertical="center"/>
    </xf>
    <xf numFmtId="0" fontId="5" fillId="2" borderId="35" xfId="0" applyFont="1" applyFill="1" applyBorder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2" fillId="2" borderId="35" xfId="0" applyFont="1" applyFill="1" applyBorder="1" applyAlignment="1" applyProtection="1">
      <alignment vertical="center" wrapText="1"/>
      <protection locked="0"/>
    </xf>
    <xf numFmtId="49" fontId="1" fillId="2" borderId="38" xfId="0" applyNumberFormat="1" applyFont="1" applyFill="1" applyBorder="1" applyAlignment="1">
      <alignment vertical="center"/>
    </xf>
    <xf numFmtId="49" fontId="1" fillId="2" borderId="39" xfId="0" applyNumberFormat="1" applyFont="1" applyFill="1" applyBorder="1" applyAlignment="1">
      <alignment vertical="center"/>
    </xf>
    <xf numFmtId="0" fontId="2" fillId="2" borderId="39" xfId="0" applyFont="1" applyFill="1" applyBorder="1" applyAlignment="1" applyProtection="1">
      <alignment vertical="center"/>
      <protection locked="0"/>
    </xf>
    <xf numFmtId="0" fontId="2" fillId="2" borderId="77" xfId="0" applyFont="1" applyFill="1" applyBorder="1" applyAlignment="1" applyProtection="1">
      <alignment vertical="center" wrapText="1"/>
      <protection locked="0"/>
    </xf>
    <xf numFmtId="0" fontId="3" fillId="0" borderId="63" xfId="0" applyFont="1" applyBorder="1"/>
    <xf numFmtId="0" fontId="2" fillId="2" borderId="6" xfId="0" applyFont="1" applyFill="1" applyBorder="1"/>
    <xf numFmtId="0" fontId="2" fillId="2" borderId="78" xfId="0" applyFont="1" applyFill="1" applyBorder="1"/>
    <xf numFmtId="0" fontId="3" fillId="2" borderId="63" xfId="0" applyFont="1" applyFill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1" fillId="2" borderId="4" xfId="0" applyFont="1" applyFill="1" applyBorder="1"/>
    <xf numFmtId="0" fontId="1" fillId="2" borderId="34" xfId="0" applyFont="1" applyFill="1" applyBorder="1"/>
    <xf numFmtId="0" fontId="5" fillId="0" borderId="0" xfId="0" applyFont="1" applyAlignment="1">
      <alignment vertical="center"/>
    </xf>
    <xf numFmtId="0" fontId="25" fillId="0" borderId="0" xfId="0" applyFont="1" applyAlignment="1">
      <alignment horizontal="center"/>
    </xf>
    <xf numFmtId="9" fontId="2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23" fillId="0" borderId="0" xfId="0" applyFont="1"/>
    <xf numFmtId="0" fontId="1" fillId="0" borderId="0" xfId="0" applyFont="1"/>
    <xf numFmtId="166" fontId="1" fillId="0" borderId="21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vertical="center"/>
    </xf>
    <xf numFmtId="166" fontId="28" fillId="0" borderId="0" xfId="0" applyNumberFormat="1" applyFont="1" applyAlignment="1">
      <alignment horizontal="center"/>
    </xf>
    <xf numFmtId="10" fontId="28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9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6" fontId="28" fillId="0" borderId="0" xfId="0" applyNumberFormat="1" applyFont="1"/>
    <xf numFmtId="10" fontId="28" fillId="0" borderId="0" xfId="0" applyNumberFormat="1" applyFont="1"/>
    <xf numFmtId="165" fontId="1" fillId="0" borderId="0" xfId="0" applyNumberFormat="1" applyFont="1" applyAlignment="1">
      <alignment vertical="center"/>
    </xf>
    <xf numFmtId="0" fontId="28" fillId="0" borderId="0" xfId="0" applyFont="1"/>
    <xf numFmtId="165" fontId="1" fillId="0" borderId="0" xfId="0" applyNumberFormat="1" applyFont="1"/>
    <xf numFmtId="10" fontId="1" fillId="0" borderId="0" xfId="0" applyNumberFormat="1" applyFont="1"/>
    <xf numFmtId="165" fontId="5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168" fontId="27" fillId="0" borderId="0" xfId="3" applyNumberFormat="1" applyFont="1" applyFill="1" applyBorder="1" applyAlignment="1">
      <alignment horizontal="center" vertical="center" wrapText="1"/>
    </xf>
    <xf numFmtId="168" fontId="1" fillId="0" borderId="0" xfId="3" applyNumberFormat="1" applyFont="1" applyFill="1" applyBorder="1" applyAlignment="1">
      <alignment horizontal="center" vertical="center"/>
    </xf>
    <xf numFmtId="168" fontId="1" fillId="0" borderId="0" xfId="3" applyNumberFormat="1" applyFont="1" applyFill="1" applyBorder="1" applyAlignment="1">
      <alignment horizontal="center"/>
    </xf>
    <xf numFmtId="168" fontId="1" fillId="0" borderId="0" xfId="0" applyNumberFormat="1" applyFont="1"/>
    <xf numFmtId="168" fontId="1" fillId="0" borderId="0" xfId="3" applyNumberFormat="1" applyFont="1" applyFill="1" applyBorder="1" applyAlignment="1">
      <alignment horizontal="left"/>
    </xf>
    <xf numFmtId="168" fontId="1" fillId="0" borderId="0" xfId="3" applyNumberFormat="1" applyFont="1" applyFill="1" applyAlignment="1">
      <alignment vertical="center"/>
    </xf>
    <xf numFmtId="168" fontId="1" fillId="0" borderId="0" xfId="3" applyNumberFormat="1" applyFont="1" applyFill="1"/>
    <xf numFmtId="168" fontId="1" fillId="0" borderId="0" xfId="3" applyNumberFormat="1" applyFont="1" applyFill="1" applyBorder="1"/>
    <xf numFmtId="168" fontId="4" fillId="0" borderId="0" xfId="1" applyNumberFormat="1" applyFill="1" applyBorder="1" applyAlignment="1" applyProtection="1"/>
    <xf numFmtId="168" fontId="28" fillId="0" borderId="0" xfId="3" applyNumberFormat="1" applyFont="1" applyFill="1" applyBorder="1" applyAlignment="1">
      <alignment horizontal="center"/>
    </xf>
    <xf numFmtId="168" fontId="31" fillId="0" borderId="0" xfId="3" applyNumberFormat="1" applyFont="1" applyFill="1" applyBorder="1"/>
    <xf numFmtId="9" fontId="1" fillId="0" borderId="0" xfId="4" applyFont="1" applyFill="1" applyBorder="1" applyAlignment="1">
      <alignment horizontal="center" vertical="center"/>
    </xf>
    <xf numFmtId="0" fontId="22" fillId="2" borderId="69" xfId="0" applyFont="1" applyFill="1" applyBorder="1" applyAlignment="1" applyProtection="1">
      <alignment horizontal="left" vertical="center" wrapText="1"/>
      <protection locked="0"/>
    </xf>
    <xf numFmtId="0" fontId="22" fillId="2" borderId="70" xfId="0" applyFont="1" applyFill="1" applyBorder="1" applyAlignment="1" applyProtection="1">
      <alignment horizontal="left" vertical="center" wrapText="1"/>
      <protection locked="0"/>
    </xf>
    <xf numFmtId="0" fontId="22" fillId="2" borderId="71" xfId="0" applyFont="1" applyFill="1" applyBorder="1" applyAlignment="1" applyProtection="1">
      <alignment horizontal="left" vertical="center" wrapText="1"/>
      <protection locked="0"/>
    </xf>
    <xf numFmtId="0" fontId="10" fillId="2" borderId="5" xfId="0" applyFont="1" applyFill="1" applyBorder="1" applyAlignment="1">
      <alignment horizontal="right" vertical="center"/>
    </xf>
    <xf numFmtId="0" fontId="10" fillId="2" borderId="6" xfId="0" applyFont="1" applyFill="1" applyBorder="1" applyAlignment="1">
      <alignment horizontal="right" vertical="center"/>
    </xf>
    <xf numFmtId="0" fontId="10" fillId="2" borderId="8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49" fontId="2" fillId="2" borderId="17" xfId="0" applyNumberFormat="1" applyFont="1" applyFill="1" applyBorder="1" applyAlignment="1" applyProtection="1">
      <alignment horizontal="left" vertical="center"/>
      <protection locked="0"/>
    </xf>
    <xf numFmtId="0" fontId="10" fillId="2" borderId="15" xfId="0" applyFont="1" applyFill="1" applyBorder="1" applyAlignment="1">
      <alignment horizontal="right" vertical="center"/>
    </xf>
    <xf numFmtId="49" fontId="2" fillId="2" borderId="16" xfId="0" applyNumberFormat="1" applyFont="1" applyFill="1" applyBorder="1" applyAlignment="1" applyProtection="1">
      <alignment horizontal="left" vertical="center"/>
      <protection locked="0"/>
    </xf>
    <xf numFmtId="49" fontId="2" fillId="2" borderId="76" xfId="0" applyNumberFormat="1" applyFont="1" applyFill="1" applyBorder="1" applyAlignment="1" applyProtection="1">
      <alignment horizontal="left" vertical="top" wrapText="1"/>
      <protection locked="0"/>
    </xf>
    <xf numFmtId="49" fontId="2" fillId="2" borderId="16" xfId="0" applyNumberFormat="1" applyFont="1" applyFill="1" applyBorder="1" applyAlignment="1" applyProtection="1">
      <alignment horizontal="left" vertical="top" wrapText="1"/>
      <protection locked="0"/>
    </xf>
    <xf numFmtId="0" fontId="3" fillId="2" borderId="0" xfId="0" applyFont="1" applyFill="1" applyAlignment="1">
      <alignment horizontal="right"/>
    </xf>
    <xf numFmtId="0" fontId="20" fillId="2" borderId="0" xfId="1" applyFont="1" applyFill="1" applyBorder="1" applyAlignment="1" applyProtection="1">
      <alignment horizontal="left" vertical="center"/>
    </xf>
    <xf numFmtId="0" fontId="2" fillId="2" borderId="17" xfId="0" applyFont="1" applyFill="1" applyBorder="1" applyAlignment="1">
      <alignment horizontal="left"/>
    </xf>
    <xf numFmtId="0" fontId="10" fillId="2" borderId="10" xfId="0" applyFont="1" applyFill="1" applyBorder="1" applyAlignment="1">
      <alignment horizontal="right" vertical="center"/>
    </xf>
    <xf numFmtId="14" fontId="2" fillId="2" borderId="17" xfId="0" applyNumberFormat="1" applyFont="1" applyFill="1" applyBorder="1" applyAlignment="1">
      <alignment horizontal="left"/>
    </xf>
    <xf numFmtId="0" fontId="2" fillId="2" borderId="0" xfId="0" applyFont="1" applyFill="1" applyAlignment="1">
      <alignment horizontal="left" vertical="center" wrapText="1"/>
    </xf>
    <xf numFmtId="165" fontId="7" fillId="2" borderId="69" xfId="2" applyNumberFormat="1" applyFont="1" applyFill="1" applyBorder="1" applyAlignment="1">
      <alignment horizontal="right" vertical="center"/>
    </xf>
    <xf numFmtId="165" fontId="7" fillId="2" borderId="30" xfId="2" applyNumberFormat="1" applyFont="1" applyFill="1" applyBorder="1" applyAlignment="1">
      <alignment horizontal="right" vertical="center"/>
    </xf>
    <xf numFmtId="49" fontId="2" fillId="2" borderId="0" xfId="0" applyNumberFormat="1" applyFont="1" applyFill="1" applyAlignment="1">
      <alignment horizontal="left" vertical="center" wrapText="1"/>
    </xf>
    <xf numFmtId="49" fontId="2" fillId="2" borderId="47" xfId="0" applyNumberFormat="1" applyFont="1" applyFill="1" applyBorder="1" applyAlignment="1" applyProtection="1">
      <alignment horizontal="left" vertical="center"/>
      <protection locked="0"/>
    </xf>
    <xf numFmtId="0" fontId="10" fillId="2" borderId="65" xfId="0" applyFont="1" applyFill="1" applyBorder="1" applyAlignment="1">
      <alignment horizontal="right" vertical="center"/>
    </xf>
    <xf numFmtId="0" fontId="10" fillId="2" borderId="35" xfId="0" applyFont="1" applyFill="1" applyBorder="1" applyAlignment="1">
      <alignment horizontal="right" vertical="center"/>
    </xf>
    <xf numFmtId="0" fontId="16" fillId="5" borderId="48" xfId="0" applyFont="1" applyFill="1" applyBorder="1" applyAlignment="1">
      <alignment horizontal="center" vertical="center"/>
    </xf>
    <xf numFmtId="0" fontId="16" fillId="5" borderId="49" xfId="0" applyFont="1" applyFill="1" applyBorder="1" applyAlignment="1">
      <alignment horizontal="center" vertical="center"/>
    </xf>
    <xf numFmtId="0" fontId="16" fillId="5" borderId="50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165" fontId="2" fillId="2" borderId="0" xfId="2" applyNumberFormat="1" applyFont="1" applyFill="1" applyBorder="1" applyAlignment="1">
      <alignment horizontal="center"/>
    </xf>
    <xf numFmtId="165" fontId="2" fillId="2" borderId="7" xfId="2" applyNumberFormat="1" applyFont="1" applyFill="1" applyBorder="1" applyAlignment="1">
      <alignment horizontal="center"/>
    </xf>
    <xf numFmtId="0" fontId="2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49" fontId="7" fillId="2" borderId="21" xfId="0" applyNumberFormat="1" applyFont="1" applyFill="1" applyBorder="1" applyAlignment="1">
      <alignment horizontal="left" vertical="center" wrapText="1"/>
    </xf>
    <xf numFmtId="165" fontId="7" fillId="0" borderId="28" xfId="2" applyNumberFormat="1" applyFont="1" applyFill="1" applyBorder="1" applyAlignment="1">
      <alignment horizontal="right"/>
    </xf>
    <xf numFmtId="165" fontId="7" fillId="0" borderId="30" xfId="2" applyNumberFormat="1" applyFont="1" applyFill="1" applyBorder="1" applyAlignment="1">
      <alignment horizontal="right"/>
    </xf>
    <xf numFmtId="49" fontId="7" fillId="2" borderId="54" xfId="0" applyNumberFormat="1" applyFont="1" applyFill="1" applyBorder="1" applyAlignment="1">
      <alignment horizontal="left" vertical="center" wrapText="1"/>
    </xf>
    <xf numFmtId="165" fontId="15" fillId="2" borderId="54" xfId="2" applyNumberFormat="1" applyFont="1" applyFill="1" applyBorder="1" applyAlignment="1"/>
    <xf numFmtId="165" fontId="15" fillId="2" borderId="55" xfId="2" applyNumberFormat="1" applyFont="1" applyFill="1" applyBorder="1" applyAlignment="1"/>
    <xf numFmtId="49" fontId="7" fillId="2" borderId="28" xfId="0" applyNumberFormat="1" applyFont="1" applyFill="1" applyBorder="1" applyAlignment="1">
      <alignment horizontal="left" vertical="center" wrapText="1"/>
    </xf>
    <xf numFmtId="49" fontId="7" fillId="2" borderId="29" xfId="0" applyNumberFormat="1" applyFont="1" applyFill="1" applyBorder="1" applyAlignment="1">
      <alignment horizontal="left" vertical="center" wrapText="1"/>
    </xf>
    <xf numFmtId="49" fontId="7" fillId="2" borderId="20" xfId="0" applyNumberFormat="1" applyFont="1" applyFill="1" applyBorder="1" applyAlignment="1">
      <alignment horizontal="left" vertical="center" wrapText="1"/>
    </xf>
    <xf numFmtId="0" fontId="2" fillId="2" borderId="21" xfId="0" applyFont="1" applyFill="1" applyBorder="1" applyAlignment="1" applyProtection="1">
      <alignment horizontal="left" vertical="center" wrapText="1"/>
      <protection locked="0"/>
    </xf>
    <xf numFmtId="49" fontId="7" fillId="0" borderId="28" xfId="0" applyNumberFormat="1" applyFont="1" applyBorder="1" applyAlignment="1">
      <alignment horizontal="left" vertical="center" wrapText="1"/>
    </xf>
    <xf numFmtId="49" fontId="7" fillId="0" borderId="29" xfId="0" applyNumberFormat="1" applyFont="1" applyBorder="1" applyAlignment="1">
      <alignment horizontal="left" vertical="center" wrapText="1"/>
    </xf>
    <xf numFmtId="49" fontId="7" fillId="0" borderId="20" xfId="0" applyNumberFormat="1" applyFont="1" applyBorder="1" applyAlignment="1">
      <alignment horizontal="left" vertical="center" wrapText="1"/>
    </xf>
    <xf numFmtId="0" fontId="5" fillId="2" borderId="17" xfId="0" applyFont="1" applyFill="1" applyBorder="1" applyAlignment="1">
      <alignment horizontal="left"/>
    </xf>
    <xf numFmtId="49" fontId="2" fillId="2" borderId="19" xfId="0" applyNumberFormat="1" applyFont="1" applyFill="1" applyBorder="1" applyAlignment="1">
      <alignment horizontal="left" vertical="center" wrapText="1"/>
    </xf>
    <xf numFmtId="14" fontId="5" fillId="2" borderId="16" xfId="0" applyNumberFormat="1" applyFont="1" applyFill="1" applyBorder="1" applyAlignment="1">
      <alignment horizontal="left" vertical="center"/>
    </xf>
    <xf numFmtId="49" fontId="2" fillId="2" borderId="17" xfId="0" applyNumberFormat="1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3" fillId="2" borderId="63" xfId="0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right" vertical="center"/>
    </xf>
    <xf numFmtId="0" fontId="3" fillId="2" borderId="64" xfId="0" applyFont="1" applyFill="1" applyBorder="1" applyAlignment="1">
      <alignment horizontal="right" vertical="center"/>
    </xf>
    <xf numFmtId="49" fontId="7" fillId="0" borderId="21" xfId="0" applyNumberFormat="1" applyFont="1" applyBorder="1" applyAlignment="1">
      <alignment horizontal="left" vertical="center" wrapText="1"/>
    </xf>
    <xf numFmtId="165" fontId="7" fillId="0" borderId="21" xfId="2" applyNumberFormat="1" applyFont="1" applyFill="1" applyBorder="1" applyAlignment="1">
      <alignment horizontal="right"/>
    </xf>
    <xf numFmtId="165" fontId="7" fillId="0" borderId="22" xfId="2" applyNumberFormat="1" applyFont="1" applyFill="1" applyBorder="1" applyAlignment="1">
      <alignment horizontal="right"/>
    </xf>
    <xf numFmtId="165" fontId="7" fillId="0" borderId="52" xfId="2" applyNumberFormat="1" applyFont="1" applyFill="1" applyBorder="1" applyAlignment="1" applyProtection="1">
      <alignment horizontal="right"/>
      <protection locked="0"/>
    </xf>
    <xf numFmtId="165" fontId="7" fillId="0" borderId="67" xfId="2" applyNumberFormat="1" applyFont="1" applyFill="1" applyBorder="1" applyAlignment="1" applyProtection="1">
      <alignment horizontal="right"/>
      <protection locked="0"/>
    </xf>
    <xf numFmtId="165" fontId="7" fillId="0" borderId="21" xfId="2" applyNumberFormat="1" applyFont="1" applyFill="1" applyBorder="1" applyAlignment="1"/>
    <xf numFmtId="165" fontId="7" fillId="0" borderId="22" xfId="2" applyNumberFormat="1" applyFont="1" applyFill="1" applyBorder="1" applyAlignment="1"/>
    <xf numFmtId="165" fontId="15" fillId="0" borderId="28" xfId="2" applyNumberFormat="1" applyFont="1" applyFill="1" applyBorder="1" applyAlignment="1">
      <alignment horizontal="right"/>
    </xf>
    <xf numFmtId="165" fontId="15" fillId="0" borderId="30" xfId="2" applyNumberFormat="1" applyFont="1" applyFill="1" applyBorder="1" applyAlignment="1">
      <alignment horizontal="right"/>
    </xf>
    <xf numFmtId="165" fontId="7" fillId="2" borderId="28" xfId="2" applyNumberFormat="1" applyFont="1" applyFill="1" applyBorder="1" applyAlignment="1">
      <alignment horizontal="right"/>
    </xf>
    <xf numFmtId="165" fontId="7" fillId="2" borderId="30" xfId="2" applyNumberFormat="1" applyFont="1" applyFill="1" applyBorder="1" applyAlignment="1">
      <alignment horizontal="right"/>
    </xf>
    <xf numFmtId="49" fontId="2" fillId="2" borderId="28" xfId="0" applyNumberFormat="1" applyFont="1" applyFill="1" applyBorder="1" applyAlignment="1">
      <alignment horizontal="left" vertical="center" wrapText="1"/>
    </xf>
    <xf numFmtId="49" fontId="2" fillId="2" borderId="29" xfId="0" applyNumberFormat="1" applyFont="1" applyFill="1" applyBorder="1" applyAlignment="1">
      <alignment horizontal="left" vertical="center" wrapText="1"/>
    </xf>
    <xf numFmtId="49" fontId="2" fillId="2" borderId="20" xfId="0" applyNumberFormat="1" applyFont="1" applyFill="1" applyBorder="1" applyAlignment="1">
      <alignment horizontal="left" vertical="center" wrapText="1"/>
    </xf>
    <xf numFmtId="49" fontId="2" fillId="2" borderId="59" xfId="0" applyNumberFormat="1" applyFont="1" applyFill="1" applyBorder="1" applyAlignment="1">
      <alignment horizontal="left" vertical="center" wrapText="1"/>
    </xf>
    <xf numFmtId="165" fontId="2" fillId="2" borderId="2" xfId="2" applyNumberFormat="1" applyFont="1" applyFill="1" applyBorder="1" applyAlignment="1">
      <alignment horizontal="center"/>
    </xf>
    <xf numFmtId="165" fontId="2" fillId="2" borderId="3" xfId="2" applyNumberFormat="1" applyFont="1" applyFill="1" applyBorder="1" applyAlignment="1">
      <alignment horizontal="center"/>
    </xf>
    <xf numFmtId="49" fontId="7" fillId="0" borderId="52" xfId="0" applyNumberFormat="1" applyFont="1" applyBorder="1" applyAlignment="1">
      <alignment horizontal="left" vertical="center" wrapText="1"/>
    </xf>
    <xf numFmtId="49" fontId="7" fillId="0" borderId="46" xfId="0" applyNumberFormat="1" applyFont="1" applyBorder="1" applyAlignment="1">
      <alignment horizontal="left" vertical="center" wrapText="1"/>
    </xf>
    <xf numFmtId="49" fontId="7" fillId="0" borderId="53" xfId="0" applyNumberFormat="1" applyFont="1" applyBorder="1" applyAlignment="1">
      <alignment horizontal="left" vertical="center" wrapText="1"/>
    </xf>
    <xf numFmtId="165" fontId="7" fillId="0" borderId="54" xfId="2" applyNumberFormat="1" applyFont="1" applyFill="1" applyBorder="1" applyAlignment="1"/>
    <xf numFmtId="165" fontId="7" fillId="0" borderId="55" xfId="2" applyNumberFormat="1" applyFont="1" applyFill="1" applyBorder="1" applyAlignment="1"/>
    <xf numFmtId="165" fontId="7" fillId="2" borderId="21" xfId="2" applyNumberFormat="1" applyFont="1" applyFill="1" applyBorder="1" applyAlignment="1">
      <alignment horizontal="right"/>
    </xf>
    <xf numFmtId="165" fontId="7" fillId="2" borderId="22" xfId="2" applyNumberFormat="1" applyFont="1" applyFill="1" applyBorder="1" applyAlignment="1">
      <alignment horizontal="right"/>
    </xf>
    <xf numFmtId="49" fontId="7" fillId="0" borderId="32" xfId="0" applyNumberFormat="1" applyFont="1" applyBorder="1" applyAlignment="1">
      <alignment horizontal="left" vertical="center" wrapText="1"/>
    </xf>
    <xf numFmtId="49" fontId="7" fillId="0" borderId="19" xfId="0" applyNumberFormat="1" applyFont="1" applyBorder="1" applyAlignment="1">
      <alignment horizontal="left" vertical="center" wrapText="1"/>
    </xf>
    <xf numFmtId="49" fontId="7" fillId="0" borderId="27" xfId="0" applyNumberFormat="1" applyFont="1" applyBorder="1" applyAlignment="1">
      <alignment horizontal="left" vertical="center" wrapText="1"/>
    </xf>
    <xf numFmtId="165" fontId="7" fillId="0" borderId="24" xfId="2" applyNumberFormat="1" applyFont="1" applyFill="1" applyBorder="1" applyAlignment="1">
      <alignment horizontal="right"/>
    </xf>
    <xf numFmtId="165" fontId="7" fillId="0" borderId="56" xfId="2" applyNumberFormat="1" applyFont="1" applyFill="1" applyBorder="1" applyAlignment="1">
      <alignment horizontal="right"/>
    </xf>
    <xf numFmtId="165" fontId="7" fillId="2" borderId="28" xfId="2" applyNumberFormat="1" applyFont="1" applyFill="1" applyBorder="1" applyAlignment="1"/>
    <xf numFmtId="165" fontId="7" fillId="2" borderId="30" xfId="2" applyNumberFormat="1" applyFont="1" applyFill="1" applyBorder="1" applyAlignment="1"/>
    <xf numFmtId="165" fontId="15" fillId="2" borderId="21" xfId="2" applyNumberFormat="1" applyFont="1" applyFill="1" applyBorder="1" applyAlignment="1"/>
    <xf numFmtId="165" fontId="15" fillId="2" borderId="22" xfId="2" applyNumberFormat="1" applyFont="1" applyFill="1" applyBorder="1" applyAlignment="1"/>
    <xf numFmtId="49" fontId="8" fillId="2" borderId="54" xfId="0" applyNumberFormat="1" applyFont="1" applyFill="1" applyBorder="1" applyAlignment="1">
      <alignment horizontal="left" vertical="center" wrapText="1"/>
    </xf>
    <xf numFmtId="165" fontId="7" fillId="2" borderId="54" xfId="2" applyNumberFormat="1" applyFont="1" applyFill="1" applyBorder="1" applyAlignment="1"/>
    <xf numFmtId="165" fontId="7" fillId="2" borderId="55" xfId="2" applyNumberFormat="1" applyFont="1" applyFill="1" applyBorder="1" applyAlignment="1"/>
    <xf numFmtId="49" fontId="12" fillId="2" borderId="21" xfId="0" applyNumberFormat="1" applyFont="1" applyFill="1" applyBorder="1" applyAlignment="1">
      <alignment horizontal="left" vertical="center" wrapText="1"/>
    </xf>
    <xf numFmtId="165" fontId="7" fillId="2" borderId="54" xfId="2" applyNumberFormat="1" applyFont="1" applyFill="1" applyBorder="1" applyAlignment="1">
      <alignment horizontal="right"/>
    </xf>
    <xf numFmtId="165" fontId="7" fillId="2" borderId="55" xfId="2" applyNumberFormat="1" applyFont="1" applyFill="1" applyBorder="1" applyAlignment="1">
      <alignment horizontal="right"/>
    </xf>
    <xf numFmtId="49" fontId="7" fillId="2" borderId="24" xfId="0" applyNumberFormat="1" applyFont="1" applyFill="1" applyBorder="1" applyAlignment="1">
      <alignment horizontal="left" vertical="center" wrapText="1"/>
    </xf>
    <xf numFmtId="165" fontId="7" fillId="2" borderId="24" xfId="2" applyNumberFormat="1" applyFont="1" applyFill="1" applyBorder="1" applyAlignment="1">
      <alignment horizontal="right"/>
    </xf>
    <xf numFmtId="165" fontId="7" fillId="2" borderId="56" xfId="2" applyNumberFormat="1" applyFont="1" applyFill="1" applyBorder="1" applyAlignment="1">
      <alignment horizontal="right"/>
    </xf>
    <xf numFmtId="165" fontId="7" fillId="2" borderId="32" xfId="2" applyNumberFormat="1" applyFont="1" applyFill="1" applyBorder="1" applyAlignment="1">
      <alignment horizontal="right"/>
    </xf>
    <xf numFmtId="165" fontId="7" fillId="2" borderId="43" xfId="2" applyNumberFormat="1" applyFont="1" applyFill="1" applyBorder="1" applyAlignment="1">
      <alignment horizontal="right"/>
    </xf>
    <xf numFmtId="0" fontId="2" fillId="2" borderId="0" xfId="0" applyFont="1" applyFill="1" applyAlignment="1" applyProtection="1">
      <alignment vertical="center" wrapText="1"/>
      <protection locked="0"/>
    </xf>
    <xf numFmtId="9" fontId="17" fillId="2" borderId="0" xfId="0" applyNumberFormat="1" applyFont="1" applyFill="1" applyAlignment="1" applyProtection="1">
      <alignment horizontal="left" vertical="center" wrapText="1"/>
      <protection locked="0"/>
    </xf>
    <xf numFmtId="9" fontId="17" fillId="2" borderId="39" xfId="0" applyNumberFormat="1" applyFont="1" applyFill="1" applyBorder="1" applyAlignment="1" applyProtection="1">
      <alignment horizontal="left" vertical="center" wrapText="1"/>
      <protection locked="0"/>
    </xf>
    <xf numFmtId="9" fontId="2" fillId="2" borderId="0" xfId="0" applyNumberFormat="1" applyFont="1" applyFill="1" applyAlignment="1" applyProtection="1">
      <alignment horizontal="left" vertical="center" wrapText="1"/>
      <protection locked="0"/>
    </xf>
    <xf numFmtId="9" fontId="2" fillId="2" borderId="39" xfId="0" applyNumberFormat="1" applyFont="1" applyFill="1" applyBorder="1" applyAlignment="1" applyProtection="1">
      <alignment horizontal="left" vertical="center" wrapText="1"/>
      <protection locked="0"/>
    </xf>
    <xf numFmtId="0" fontId="2" fillId="8" borderId="40" xfId="0" applyFont="1" applyFill="1" applyBorder="1" applyAlignment="1" applyProtection="1">
      <alignment horizontal="center" vertical="center" wrapText="1"/>
      <protection locked="0"/>
    </xf>
    <xf numFmtId="0" fontId="2" fillId="8" borderId="41" xfId="0" applyFont="1" applyFill="1" applyBorder="1" applyAlignment="1" applyProtection="1">
      <alignment horizontal="center" vertical="center" wrapText="1"/>
      <protection locked="0"/>
    </xf>
    <xf numFmtId="0" fontId="2" fillId="8" borderId="42" xfId="0" applyFont="1" applyFill="1" applyBorder="1" applyAlignment="1" applyProtection="1">
      <alignment horizontal="center" vertical="center" wrapText="1"/>
      <protection locked="0"/>
    </xf>
    <xf numFmtId="0" fontId="2" fillId="8" borderId="15" xfId="0" applyFont="1" applyFill="1" applyBorder="1" applyAlignment="1" applyProtection="1">
      <alignment horizontal="center" vertical="center" wrapText="1"/>
      <protection locked="0"/>
    </xf>
    <xf numFmtId="0" fontId="2" fillId="8" borderId="0" xfId="0" applyFont="1" applyFill="1" applyAlignment="1" applyProtection="1">
      <alignment horizontal="center" vertical="center" wrapText="1"/>
      <protection locked="0"/>
    </xf>
    <xf numFmtId="0" fontId="2" fillId="8" borderId="7" xfId="0" applyFont="1" applyFill="1" applyBorder="1" applyAlignment="1" applyProtection="1">
      <alignment horizontal="center" vertical="center" wrapText="1"/>
      <protection locked="0"/>
    </xf>
    <xf numFmtId="0" fontId="2" fillId="8" borderId="65" xfId="0" applyFont="1" applyFill="1" applyBorder="1" applyAlignment="1" applyProtection="1">
      <alignment horizontal="center" vertical="center" wrapText="1"/>
      <protection locked="0"/>
    </xf>
    <xf numFmtId="0" fontId="2" fillId="8" borderId="35" xfId="0" applyFont="1" applyFill="1" applyBorder="1" applyAlignment="1" applyProtection="1">
      <alignment horizontal="center" vertical="center" wrapText="1"/>
      <protection locked="0"/>
    </xf>
    <xf numFmtId="0" fontId="2" fillId="8" borderId="36" xfId="0" applyFont="1" applyFill="1" applyBorder="1" applyAlignment="1" applyProtection="1">
      <alignment horizontal="center" vertical="center" wrapText="1"/>
      <protection locked="0"/>
    </xf>
    <xf numFmtId="17" fontId="2" fillId="2" borderId="35" xfId="0" applyNumberFormat="1" applyFont="1" applyFill="1" applyBorder="1" applyAlignment="1" applyProtection="1">
      <alignment horizontal="left" vertical="center"/>
      <protection locked="0"/>
    </xf>
    <xf numFmtId="0" fontId="2" fillId="2" borderId="4" xfId="0" applyFont="1" applyFill="1" applyBorder="1" applyAlignment="1" applyProtection="1">
      <alignment horizontal="left" vertical="center"/>
      <protection locked="0"/>
    </xf>
    <xf numFmtId="0" fontId="2" fillId="2" borderId="0" xfId="0" applyFont="1" applyFill="1" applyAlignment="1" applyProtection="1">
      <alignment horizontal="left" vertical="center"/>
      <protection locked="0"/>
    </xf>
    <xf numFmtId="0" fontId="2" fillId="2" borderId="0" xfId="0" applyFont="1" applyFill="1" applyAlignment="1" applyProtection="1">
      <alignment horizontal="left" vertical="center" wrapText="1"/>
      <protection locked="0"/>
    </xf>
    <xf numFmtId="0" fontId="16" fillId="5" borderId="44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49" fontId="7" fillId="0" borderId="23" xfId="0" applyNumberFormat="1" applyFont="1" applyBorder="1" applyAlignment="1">
      <alignment horizontal="left" vertical="center" wrapText="1"/>
    </xf>
    <xf numFmtId="165" fontId="7" fillId="0" borderId="28" xfId="2" applyNumberFormat="1" applyFont="1" applyFill="1" applyBorder="1" applyAlignment="1" applyProtection="1">
      <alignment horizontal="right"/>
      <protection locked="0"/>
    </xf>
    <xf numFmtId="165" fontId="7" fillId="0" borderId="30" xfId="2" applyNumberFormat="1" applyFont="1" applyFill="1" applyBorder="1" applyAlignment="1" applyProtection="1">
      <alignment horizontal="right"/>
      <protection locked="0"/>
    </xf>
    <xf numFmtId="49" fontId="7" fillId="0" borderId="24" xfId="0" applyNumberFormat="1" applyFont="1" applyBorder="1" applyAlignment="1">
      <alignment horizontal="left" vertical="center" wrapText="1"/>
    </xf>
    <xf numFmtId="49" fontId="7" fillId="0" borderId="54" xfId="0" applyNumberFormat="1" applyFont="1" applyBorder="1" applyAlignment="1">
      <alignment horizontal="left" vertical="center" wrapText="1"/>
    </xf>
    <xf numFmtId="165" fontId="7" fillId="0" borderId="61" xfId="2" applyNumberFormat="1" applyFont="1" applyFill="1" applyBorder="1" applyAlignment="1">
      <alignment horizontal="right"/>
    </xf>
    <xf numFmtId="165" fontId="7" fillId="0" borderId="62" xfId="2" applyNumberFormat="1" applyFont="1" applyFill="1" applyBorder="1" applyAlignment="1">
      <alignment horizontal="right"/>
    </xf>
    <xf numFmtId="49" fontId="7" fillId="7" borderId="28" xfId="0" applyNumberFormat="1" applyFont="1" applyFill="1" applyBorder="1" applyAlignment="1">
      <alignment horizontal="left" vertical="center" wrapText="1"/>
    </xf>
    <xf numFmtId="49" fontId="7" fillId="7" borderId="29" xfId="0" applyNumberFormat="1" applyFont="1" applyFill="1" applyBorder="1" applyAlignment="1">
      <alignment horizontal="left" vertical="center" wrapText="1"/>
    </xf>
    <xf numFmtId="49" fontId="7" fillId="7" borderId="20" xfId="0" applyNumberFormat="1" applyFont="1" applyFill="1" applyBorder="1" applyAlignment="1">
      <alignment horizontal="left" vertical="center" wrapText="1"/>
    </xf>
    <xf numFmtId="49" fontId="12" fillId="0" borderId="21" xfId="0" applyNumberFormat="1" applyFont="1" applyBorder="1" applyAlignment="1">
      <alignment horizontal="left" vertical="center" wrapText="1"/>
    </xf>
    <xf numFmtId="49" fontId="12" fillId="0" borderId="28" xfId="0" applyNumberFormat="1" applyFont="1" applyBorder="1" applyAlignment="1">
      <alignment horizontal="left" vertical="center" wrapText="1"/>
    </xf>
    <xf numFmtId="49" fontId="12" fillId="0" borderId="29" xfId="0" applyNumberFormat="1" applyFont="1" applyBorder="1" applyAlignment="1">
      <alignment horizontal="left" vertical="center" wrapText="1"/>
    </xf>
    <xf numFmtId="49" fontId="12" fillId="0" borderId="20" xfId="0" applyNumberFormat="1" applyFont="1" applyBorder="1" applyAlignment="1">
      <alignment horizontal="left" vertical="center" wrapText="1"/>
    </xf>
    <xf numFmtId="165" fontId="7" fillId="2" borderId="21" xfId="2" applyNumberFormat="1" applyFont="1" applyFill="1" applyBorder="1" applyAlignment="1"/>
    <xf numFmtId="165" fontId="7" fillId="2" borderId="22" xfId="2" applyNumberFormat="1" applyFont="1" applyFill="1" applyBorder="1" applyAlignment="1"/>
    <xf numFmtId="0" fontId="2" fillId="2" borderId="21" xfId="0" applyFont="1" applyFill="1" applyBorder="1" applyAlignment="1" applyProtection="1">
      <alignment horizontal="left" wrapText="1"/>
      <protection locked="0"/>
    </xf>
    <xf numFmtId="49" fontId="7" fillId="2" borderId="52" xfId="0" applyNumberFormat="1" applyFont="1" applyFill="1" applyBorder="1" applyAlignment="1">
      <alignment horizontal="left" vertical="center" wrapText="1"/>
    </xf>
    <xf numFmtId="49" fontId="7" fillId="2" borderId="46" xfId="0" applyNumberFormat="1" applyFont="1" applyFill="1" applyBorder="1" applyAlignment="1">
      <alignment horizontal="left" vertical="center" wrapText="1"/>
    </xf>
    <xf numFmtId="49" fontId="7" fillId="2" borderId="53" xfId="0" applyNumberFormat="1" applyFont="1" applyFill="1" applyBorder="1" applyAlignment="1">
      <alignment horizontal="left" vertical="center" wrapText="1"/>
    </xf>
    <xf numFmtId="49" fontId="7" fillId="2" borderId="32" xfId="0" applyNumberFormat="1" applyFont="1" applyFill="1" applyBorder="1" applyAlignment="1">
      <alignment horizontal="left" vertical="center" wrapText="1"/>
    </xf>
    <xf numFmtId="49" fontId="7" fillId="2" borderId="19" xfId="0" applyNumberFormat="1" applyFont="1" applyFill="1" applyBorder="1" applyAlignment="1">
      <alignment horizontal="left" vertical="center" wrapText="1"/>
    </xf>
    <xf numFmtId="49" fontId="7" fillId="2" borderId="27" xfId="0" applyNumberFormat="1" applyFont="1" applyFill="1" applyBorder="1" applyAlignment="1">
      <alignment horizontal="left" vertical="center" wrapText="1"/>
    </xf>
    <xf numFmtId="49" fontId="7" fillId="6" borderId="28" xfId="0" applyNumberFormat="1" applyFont="1" applyFill="1" applyBorder="1" applyAlignment="1">
      <alignment horizontal="left" vertical="center" wrapText="1"/>
    </xf>
    <xf numFmtId="49" fontId="7" fillId="6" borderId="29" xfId="0" applyNumberFormat="1" applyFont="1" applyFill="1" applyBorder="1" applyAlignment="1">
      <alignment horizontal="left" vertical="center" wrapText="1"/>
    </xf>
    <xf numFmtId="49" fontId="7" fillId="6" borderId="20" xfId="0" applyNumberFormat="1" applyFont="1" applyFill="1" applyBorder="1" applyAlignment="1">
      <alignment horizontal="left" vertical="center" wrapText="1"/>
    </xf>
    <xf numFmtId="49" fontId="8" fillId="2" borderId="21" xfId="0" applyNumberFormat="1" applyFont="1" applyFill="1" applyBorder="1" applyAlignment="1">
      <alignment horizontal="left" vertical="center" wrapText="1"/>
    </xf>
    <xf numFmtId="0" fontId="2" fillId="8" borderId="73" xfId="0" applyFont="1" applyFill="1" applyBorder="1" applyAlignment="1" applyProtection="1">
      <alignment horizontal="center" vertical="center" wrapText="1"/>
      <protection locked="0"/>
    </xf>
    <xf numFmtId="0" fontId="16" fillId="5" borderId="36" xfId="0" applyFont="1" applyFill="1" applyBorder="1" applyAlignment="1">
      <alignment horizontal="center" vertical="center"/>
    </xf>
    <xf numFmtId="0" fontId="16" fillId="5" borderId="34" xfId="0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right"/>
    </xf>
    <xf numFmtId="165" fontId="22" fillId="2" borderId="21" xfId="2" applyNumberFormat="1" applyFont="1" applyFill="1" applyBorder="1" applyAlignment="1">
      <alignment horizontal="right"/>
    </xf>
    <xf numFmtId="165" fontId="22" fillId="2" borderId="22" xfId="2" applyNumberFormat="1" applyFont="1" applyFill="1" applyBorder="1" applyAlignment="1">
      <alignment horizontal="right"/>
    </xf>
    <xf numFmtId="49" fontId="1" fillId="0" borderId="28" xfId="0" applyNumberFormat="1" applyFont="1" applyBorder="1" applyAlignment="1">
      <alignment horizontal="left" vertical="center" wrapText="1"/>
    </xf>
    <xf numFmtId="49" fontId="1" fillId="0" borderId="29" xfId="0" applyNumberFormat="1" applyFont="1" applyBorder="1" applyAlignment="1">
      <alignment horizontal="left" vertical="center" wrapText="1"/>
    </xf>
    <xf numFmtId="49" fontId="1" fillId="0" borderId="20" xfId="0" applyNumberFormat="1" applyFont="1" applyBorder="1" applyAlignment="1">
      <alignment horizontal="left" vertical="center" wrapText="1"/>
    </xf>
  </cellXfs>
  <cellStyles count="5">
    <cellStyle name="Hipervínculo" xfId="1" builtinId="8"/>
    <cellStyle name="Moneda" xfId="3" builtinId="4"/>
    <cellStyle name="Normal" xfId="0" builtinId="0"/>
    <cellStyle name="Porcentaje" xfId="4" builtinId="5"/>
    <cellStyle name="Währung" xfId="2" xr:uid="{00000000-0005-0000-0000-000004000000}"/>
  </cellStyles>
  <dxfs count="0"/>
  <tableStyles count="0" defaultTableStyle="TableStyleMedium2" defaultPivotStyle="PivotStyleLight16"/>
  <colors>
    <mruColors>
      <color rgb="FF0066FF"/>
      <color rgb="FF223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59328</xdr:colOff>
      <xdr:row>1</xdr:row>
      <xdr:rowOff>7620</xdr:rowOff>
    </xdr:from>
    <xdr:to>
      <xdr:col>3</xdr:col>
      <xdr:colOff>199979</xdr:colOff>
      <xdr:row>3</xdr:row>
      <xdr:rowOff>30480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28" y="169545"/>
          <a:ext cx="2264726" cy="3276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59328</xdr:colOff>
      <xdr:row>1</xdr:row>
      <xdr:rowOff>7620</xdr:rowOff>
    </xdr:from>
    <xdr:to>
      <xdr:col>3</xdr:col>
      <xdr:colOff>222839</xdr:colOff>
      <xdr:row>3</xdr:row>
      <xdr:rowOff>30480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28" y="169545"/>
          <a:ext cx="2268536" cy="3276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59328</xdr:colOff>
      <xdr:row>1</xdr:row>
      <xdr:rowOff>7620</xdr:rowOff>
    </xdr:from>
    <xdr:to>
      <xdr:col>3</xdr:col>
      <xdr:colOff>207599</xdr:colOff>
      <xdr:row>3</xdr:row>
      <xdr:rowOff>30480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28" y="169545"/>
          <a:ext cx="2262821" cy="3276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59328</xdr:colOff>
      <xdr:row>1</xdr:row>
      <xdr:rowOff>7620</xdr:rowOff>
    </xdr:from>
    <xdr:to>
      <xdr:col>3</xdr:col>
      <xdr:colOff>199979</xdr:colOff>
      <xdr:row>3</xdr:row>
      <xdr:rowOff>30480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28" y="169545"/>
          <a:ext cx="2264726" cy="3276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59328</xdr:colOff>
      <xdr:row>1</xdr:row>
      <xdr:rowOff>7620</xdr:rowOff>
    </xdr:from>
    <xdr:to>
      <xdr:col>3</xdr:col>
      <xdr:colOff>222839</xdr:colOff>
      <xdr:row>3</xdr:row>
      <xdr:rowOff>30480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28" y="169545"/>
          <a:ext cx="2268536" cy="3276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59328</xdr:colOff>
      <xdr:row>1</xdr:row>
      <xdr:rowOff>7620</xdr:rowOff>
    </xdr:from>
    <xdr:to>
      <xdr:col>3</xdr:col>
      <xdr:colOff>199979</xdr:colOff>
      <xdr:row>3</xdr:row>
      <xdr:rowOff>30480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28" y="169545"/>
          <a:ext cx="2264726" cy="3276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59328</xdr:colOff>
      <xdr:row>1</xdr:row>
      <xdr:rowOff>7620</xdr:rowOff>
    </xdr:from>
    <xdr:to>
      <xdr:col>3</xdr:col>
      <xdr:colOff>199979</xdr:colOff>
      <xdr:row>3</xdr:row>
      <xdr:rowOff>30480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28" y="169545"/>
          <a:ext cx="2264726" cy="3276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59328</xdr:colOff>
      <xdr:row>1</xdr:row>
      <xdr:rowOff>7620</xdr:rowOff>
    </xdr:from>
    <xdr:to>
      <xdr:col>3</xdr:col>
      <xdr:colOff>199979</xdr:colOff>
      <xdr:row>3</xdr:row>
      <xdr:rowOff>30480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328" y="169545"/>
          <a:ext cx="2264726" cy="3276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audvintech.com/" TargetMode="External"/><Relationship Id="rId1" Type="http://schemas.openxmlformats.org/officeDocument/2006/relationships/hyperlink" Target="mailto:proyectos@audvintech.com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audvintech.com/" TargetMode="External"/><Relationship Id="rId1" Type="http://schemas.openxmlformats.org/officeDocument/2006/relationships/hyperlink" Target="mailto:proyectos@audvintech.com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www.audvintech.com/" TargetMode="External"/><Relationship Id="rId1" Type="http://schemas.openxmlformats.org/officeDocument/2006/relationships/hyperlink" Target="mailto:proyectos@audvintech.com" TargetMode="External"/><Relationship Id="rId6" Type="http://schemas.openxmlformats.org/officeDocument/2006/relationships/comments" Target="../comments3.xml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www.audvintech.com/" TargetMode="External"/><Relationship Id="rId1" Type="http://schemas.openxmlformats.org/officeDocument/2006/relationships/hyperlink" Target="mailto:proyectos@audvintech.com" TargetMode="External"/><Relationship Id="rId6" Type="http://schemas.openxmlformats.org/officeDocument/2006/relationships/comments" Target="../comments4.xml"/><Relationship Id="rId5" Type="http://schemas.openxmlformats.org/officeDocument/2006/relationships/vmlDrawing" Target="../drawings/vmlDrawing4.vm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udvintech.com/" TargetMode="External"/><Relationship Id="rId7" Type="http://schemas.openxmlformats.org/officeDocument/2006/relationships/comments" Target="../comments5.xml"/><Relationship Id="rId2" Type="http://schemas.openxmlformats.org/officeDocument/2006/relationships/hyperlink" Target="mailto:proyectos@audvintech.com" TargetMode="External"/><Relationship Id="rId1" Type="http://schemas.openxmlformats.org/officeDocument/2006/relationships/printerSettings" Target="../printerSettings/printerSettings5.bin"/><Relationship Id="rId6" Type="http://schemas.openxmlformats.org/officeDocument/2006/relationships/vmlDrawing" Target="../drawings/vmlDrawing5.vml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://www.audvintech.com/" TargetMode="External"/><Relationship Id="rId1" Type="http://schemas.openxmlformats.org/officeDocument/2006/relationships/hyperlink" Target="mailto:proyectos@audvintech.com" TargetMode="External"/><Relationship Id="rId6" Type="http://schemas.openxmlformats.org/officeDocument/2006/relationships/comments" Target="../comments6.xml"/><Relationship Id="rId5" Type="http://schemas.openxmlformats.org/officeDocument/2006/relationships/vmlDrawing" Target="../drawings/vmlDrawing6.vml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://www.audvintech.com/" TargetMode="External"/><Relationship Id="rId1" Type="http://schemas.openxmlformats.org/officeDocument/2006/relationships/hyperlink" Target="mailto:proyectos@audvintech.com" TargetMode="External"/><Relationship Id="rId6" Type="http://schemas.openxmlformats.org/officeDocument/2006/relationships/comments" Target="../comments7.xml"/><Relationship Id="rId5" Type="http://schemas.openxmlformats.org/officeDocument/2006/relationships/vmlDrawing" Target="../drawings/vmlDrawing7.vml"/><Relationship Id="rId4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://www.audvintech.com/" TargetMode="External"/><Relationship Id="rId1" Type="http://schemas.openxmlformats.org/officeDocument/2006/relationships/hyperlink" Target="mailto:proyectos@audvintech.com" TargetMode="External"/><Relationship Id="rId6" Type="http://schemas.openxmlformats.org/officeDocument/2006/relationships/comments" Target="../comments8.xml"/><Relationship Id="rId5" Type="http://schemas.openxmlformats.org/officeDocument/2006/relationships/vmlDrawing" Target="../drawings/vmlDrawing8.vml"/><Relationship Id="rId4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topLeftCell="A19" workbookViewId="0">
      <selection activeCell="C24" sqref="C24:I24"/>
    </sheetView>
  </sheetViews>
  <sheetFormatPr baseColWidth="10" defaultColWidth="2.7109375" defaultRowHeight="10.5"/>
  <cols>
    <col min="1" max="1" width="1.28515625" style="5" customWidth="1"/>
    <col min="2" max="2" width="16" style="5" customWidth="1"/>
    <col min="3" max="3" width="14.5703125" style="5" customWidth="1"/>
    <col min="4" max="4" width="9.140625" style="5" customWidth="1"/>
    <col min="5" max="5" width="8.42578125" style="5" customWidth="1"/>
    <col min="6" max="6" width="1.28515625" style="5" customWidth="1"/>
    <col min="7" max="7" width="8.28515625" style="5" customWidth="1"/>
    <col min="8" max="8" width="1.42578125" style="5" customWidth="1"/>
    <col min="9" max="9" width="3.7109375" style="5" customWidth="1"/>
    <col min="10" max="10" width="15.28515625" style="78" customWidth="1"/>
    <col min="11" max="11" width="16.7109375" style="5" customWidth="1"/>
    <col min="12" max="12" width="1.140625" style="5" customWidth="1"/>
    <col min="13" max="13" width="1.28515625" style="5" customWidth="1"/>
    <col min="14" max="14" width="14.42578125" style="257" customWidth="1"/>
    <col min="15" max="17" width="23.5703125" style="158" customWidth="1"/>
    <col min="18" max="18" width="21.42578125" style="163" customWidth="1"/>
    <col min="19" max="19" width="16" style="169" customWidth="1"/>
    <col min="20" max="20" width="6.5703125" style="5" bestFit="1" customWidth="1"/>
    <col min="21" max="26" width="2.7109375" style="5"/>
    <col min="27" max="27" width="6" style="5" bestFit="1" customWidth="1"/>
    <col min="28" max="16384" width="2.7109375" style="5"/>
  </cols>
  <sheetData>
    <row r="1" spans="1:19" ht="12.75" thickBot="1">
      <c r="A1" s="19"/>
      <c r="B1" s="20"/>
      <c r="C1" s="20"/>
      <c r="D1" s="21"/>
      <c r="E1" s="21"/>
      <c r="F1" s="21"/>
      <c r="G1" s="21"/>
      <c r="H1" s="21"/>
      <c r="I1" s="21"/>
      <c r="J1" s="22"/>
      <c r="K1" s="23"/>
      <c r="L1" s="24"/>
      <c r="M1" s="24"/>
      <c r="N1" s="5"/>
    </row>
    <row r="2" spans="1:19" ht="12">
      <c r="A2" s="4"/>
      <c r="B2" s="25"/>
      <c r="C2" s="26"/>
      <c r="D2" s="27"/>
      <c r="E2" s="27"/>
      <c r="F2" s="27"/>
      <c r="G2" s="349" t="s">
        <v>0</v>
      </c>
      <c r="H2" s="350"/>
      <c r="I2" s="350"/>
      <c r="J2" s="28" t="s">
        <v>1</v>
      </c>
      <c r="K2" s="29"/>
      <c r="L2" s="30"/>
      <c r="M2" s="30"/>
      <c r="N2" s="5"/>
    </row>
    <row r="3" spans="1:19" ht="12">
      <c r="A3" s="4"/>
      <c r="B3" s="25"/>
      <c r="C3" s="31"/>
      <c r="D3" s="32"/>
      <c r="E3" s="32"/>
      <c r="F3" s="32"/>
      <c r="G3" s="351" t="s">
        <v>2</v>
      </c>
      <c r="H3" s="352"/>
      <c r="I3" s="352"/>
      <c r="J3" s="18" t="s">
        <v>3</v>
      </c>
      <c r="K3" s="264" t="s">
        <v>4</v>
      </c>
      <c r="L3" s="222"/>
      <c r="M3" s="222"/>
      <c r="N3" s="5"/>
    </row>
    <row r="4" spans="1:19" ht="14.25" customHeight="1">
      <c r="A4" s="34"/>
      <c r="B4" s="398" t="s">
        <v>5</v>
      </c>
      <c r="C4" s="398"/>
      <c r="D4" s="398"/>
      <c r="E4" s="398"/>
      <c r="F4" s="399"/>
      <c r="G4" s="351" t="s">
        <v>6</v>
      </c>
      <c r="H4" s="352"/>
      <c r="I4" s="352"/>
      <c r="J4" s="359" t="s">
        <v>7</v>
      </c>
      <c r="K4" s="359"/>
      <c r="L4" s="14"/>
      <c r="M4" s="14"/>
      <c r="N4" s="5"/>
    </row>
    <row r="5" spans="1:19" ht="12.75" thickBot="1">
      <c r="A5" s="4"/>
      <c r="B5" s="400"/>
      <c r="C5" s="400"/>
      <c r="D5" s="400"/>
      <c r="E5" s="400"/>
      <c r="F5" s="401"/>
      <c r="G5" s="351" t="s">
        <v>8</v>
      </c>
      <c r="H5" s="352"/>
      <c r="I5" s="352"/>
      <c r="J5" s="359" t="s">
        <v>9</v>
      </c>
      <c r="K5" s="359"/>
      <c r="L5" s="14"/>
      <c r="M5" s="14"/>
      <c r="N5" s="5"/>
    </row>
    <row r="6" spans="1:19" ht="12.75" thickBot="1">
      <c r="A6" s="4"/>
      <c r="B6" s="35"/>
      <c r="C6" s="35"/>
      <c r="D6" s="35"/>
      <c r="E6" s="35"/>
      <c r="F6" s="35"/>
      <c r="G6" s="361"/>
      <c r="H6" s="361"/>
      <c r="I6" s="361"/>
      <c r="J6" s="36"/>
      <c r="K6" s="35"/>
      <c r="L6" s="14"/>
      <c r="M6" s="14"/>
      <c r="N6" s="5"/>
    </row>
    <row r="7" spans="1:19" ht="12.75" thickBot="1">
      <c r="A7" s="4"/>
      <c r="B7" s="37" t="s">
        <v>10</v>
      </c>
      <c r="C7" s="38"/>
      <c r="D7" s="39"/>
      <c r="E7" s="39"/>
      <c r="F7" s="40"/>
      <c r="G7" s="41"/>
      <c r="H7" s="39"/>
      <c r="I7" s="41"/>
      <c r="J7" s="42"/>
      <c r="K7" s="39"/>
      <c r="L7" s="105"/>
      <c r="M7" s="14"/>
      <c r="N7" s="256"/>
    </row>
    <row r="8" spans="1:19" ht="12">
      <c r="A8" s="10"/>
      <c r="B8" s="39"/>
      <c r="C8" s="35"/>
      <c r="D8" s="35"/>
      <c r="E8" s="35"/>
      <c r="F8" s="11"/>
      <c r="G8" s="35"/>
      <c r="H8" s="35"/>
      <c r="I8" s="35"/>
      <c r="J8" s="26"/>
      <c r="K8" s="35"/>
      <c r="L8" s="14"/>
      <c r="M8" s="14"/>
      <c r="N8" s="256"/>
    </row>
    <row r="9" spans="1:19" ht="12">
      <c r="A9" s="10"/>
      <c r="B9" s="148" t="s">
        <v>11</v>
      </c>
      <c r="C9" s="355" t="s">
        <v>66</v>
      </c>
      <c r="D9" s="355"/>
      <c r="E9" s="355"/>
      <c r="F9" s="11"/>
      <c r="G9" s="354" t="s">
        <v>12</v>
      </c>
      <c r="H9" s="352"/>
      <c r="I9" s="352"/>
      <c r="J9" s="394">
        <v>43215</v>
      </c>
      <c r="K9" s="394"/>
      <c r="L9" s="79"/>
      <c r="M9" s="14"/>
      <c r="N9" s="256"/>
    </row>
    <row r="10" spans="1:19" ht="25.5" customHeight="1">
      <c r="A10" s="10"/>
      <c r="B10" s="148" t="s">
        <v>13</v>
      </c>
      <c r="C10" s="395" t="s">
        <v>67</v>
      </c>
      <c r="D10" s="395"/>
      <c r="E10" s="395"/>
      <c r="F10" s="11"/>
      <c r="G10" s="354" t="s">
        <v>14</v>
      </c>
      <c r="H10" s="352"/>
      <c r="I10" s="352"/>
      <c r="J10" s="396" t="s">
        <v>194</v>
      </c>
      <c r="K10" s="396"/>
      <c r="L10" s="397"/>
      <c r="M10" s="14"/>
      <c r="N10" s="256"/>
    </row>
    <row r="11" spans="1:19" ht="12">
      <c r="A11" s="10"/>
      <c r="B11" s="148" t="s">
        <v>15</v>
      </c>
      <c r="C11" s="353" t="s">
        <v>16</v>
      </c>
      <c r="D11" s="353"/>
      <c r="E11" s="353"/>
      <c r="F11" s="11"/>
      <c r="G11" s="354" t="s">
        <v>17</v>
      </c>
      <c r="H11" s="352"/>
      <c r="I11" s="352"/>
      <c r="J11" s="392">
        <v>1</v>
      </c>
      <c r="K11" s="392"/>
      <c r="L11" s="79"/>
      <c r="M11" s="14"/>
      <c r="N11" s="256"/>
    </row>
    <row r="12" spans="1:19" ht="12">
      <c r="A12" s="10"/>
      <c r="B12" s="148"/>
      <c r="C12" s="353"/>
      <c r="D12" s="353"/>
      <c r="E12" s="353"/>
      <c r="F12" s="11"/>
      <c r="G12" s="354" t="s">
        <v>18</v>
      </c>
      <c r="H12" s="352"/>
      <c r="I12" s="352"/>
      <c r="J12" s="392">
        <v>1</v>
      </c>
      <c r="K12" s="392"/>
      <c r="L12" s="79"/>
      <c r="M12" s="14"/>
      <c r="N12" s="256"/>
    </row>
    <row r="13" spans="1:19" ht="12">
      <c r="A13" s="10"/>
      <c r="B13" s="148" t="s">
        <v>19</v>
      </c>
      <c r="C13" s="353" t="s">
        <v>77</v>
      </c>
      <c r="D13" s="353"/>
      <c r="E13" s="353"/>
      <c r="F13" s="11"/>
      <c r="G13" s="354" t="s">
        <v>20</v>
      </c>
      <c r="H13" s="352"/>
      <c r="I13" s="352"/>
      <c r="J13" s="392" t="s">
        <v>195</v>
      </c>
      <c r="K13" s="392"/>
      <c r="L13" s="79"/>
      <c r="M13" s="14"/>
      <c r="N13" s="256"/>
    </row>
    <row r="14" spans="1:19" ht="12">
      <c r="A14" s="10"/>
      <c r="B14" s="146"/>
      <c r="C14" s="367"/>
      <c r="D14" s="367"/>
      <c r="E14" s="367"/>
      <c r="F14" s="11"/>
      <c r="G14" s="368"/>
      <c r="H14" s="369"/>
      <c r="I14" s="369"/>
      <c r="J14" s="80"/>
      <c r="K14" s="81"/>
      <c r="L14" s="82"/>
      <c r="M14" s="14"/>
      <c r="N14" s="256"/>
    </row>
    <row r="15" spans="1:19" ht="12">
      <c r="A15" s="10"/>
      <c r="B15" s="147" t="s">
        <v>137</v>
      </c>
      <c r="C15" s="370" t="s">
        <v>138</v>
      </c>
      <c r="D15" s="371"/>
      <c r="E15" s="371"/>
      <c r="F15" s="371"/>
      <c r="G15" s="371"/>
      <c r="H15" s="371"/>
      <c r="I15" s="372"/>
      <c r="J15" s="17"/>
      <c r="K15" s="373"/>
      <c r="L15" s="373"/>
      <c r="M15" s="14"/>
      <c r="N15" s="257" t="s">
        <v>107</v>
      </c>
      <c r="O15" s="159">
        <v>0.2</v>
      </c>
      <c r="P15" s="159">
        <v>0.2</v>
      </c>
      <c r="Q15" s="158" t="s">
        <v>25</v>
      </c>
      <c r="R15" s="163" t="s">
        <v>26</v>
      </c>
      <c r="S15" s="169" t="s">
        <v>58</v>
      </c>
    </row>
    <row r="16" spans="1:19" ht="12">
      <c r="A16" s="4"/>
      <c r="B16" s="196"/>
      <c r="C16" s="197"/>
      <c r="D16" s="197"/>
      <c r="E16" s="197"/>
      <c r="F16" s="197"/>
      <c r="G16" s="197"/>
      <c r="H16" s="197"/>
      <c r="I16" s="197"/>
      <c r="J16" s="198"/>
      <c r="K16" s="199"/>
      <c r="L16" s="200"/>
      <c r="M16" s="14"/>
      <c r="N16" s="257" t="s">
        <v>73</v>
      </c>
      <c r="O16" s="159">
        <v>0.15</v>
      </c>
      <c r="P16" s="159">
        <v>0.15</v>
      </c>
    </row>
    <row r="17" spans="1:20" ht="12">
      <c r="A17" s="4"/>
      <c r="B17" s="373" t="s">
        <v>194</v>
      </c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14"/>
      <c r="N17" s="257" t="s">
        <v>74</v>
      </c>
      <c r="O17" s="159">
        <v>0.1</v>
      </c>
      <c r="P17" s="159">
        <v>0.12</v>
      </c>
    </row>
    <row r="18" spans="1:20" ht="12">
      <c r="A18" s="4"/>
      <c r="B18" s="118"/>
      <c r="C18" s="117"/>
      <c r="D18" s="117"/>
      <c r="E18" s="117"/>
      <c r="F18" s="117"/>
      <c r="G18" s="117"/>
      <c r="H18" s="117"/>
      <c r="I18" s="117"/>
      <c r="J18" s="117"/>
      <c r="K18" s="126"/>
      <c r="L18" s="119"/>
      <c r="M18" s="14"/>
      <c r="N18" s="257" t="s">
        <v>75</v>
      </c>
      <c r="O18" s="159">
        <v>0.2</v>
      </c>
      <c r="P18" s="159">
        <v>0.7</v>
      </c>
    </row>
    <row r="19" spans="1:20" ht="12">
      <c r="A19" s="4"/>
      <c r="B19" s="83"/>
      <c r="C19" s="393"/>
      <c r="D19" s="393"/>
      <c r="E19" s="393"/>
      <c r="F19" s="393"/>
      <c r="G19" s="393"/>
      <c r="H19" s="393"/>
      <c r="I19" s="393"/>
      <c r="J19" s="47"/>
      <c r="K19" s="374"/>
      <c r="L19" s="375"/>
      <c r="M19" s="14"/>
    </row>
    <row r="20" spans="1:20" ht="24.95" customHeight="1">
      <c r="A20" s="10"/>
      <c r="B20" s="213">
        <v>1</v>
      </c>
      <c r="C20" s="385" t="s">
        <v>150</v>
      </c>
      <c r="D20" s="386" t="s">
        <v>27</v>
      </c>
      <c r="E20" s="386" t="s">
        <v>27</v>
      </c>
      <c r="F20" s="386" t="s">
        <v>27</v>
      </c>
      <c r="G20" s="386" t="s">
        <v>27</v>
      </c>
      <c r="H20" s="386" t="s">
        <v>27</v>
      </c>
      <c r="I20" s="387" t="s">
        <v>27</v>
      </c>
      <c r="J20" s="48"/>
      <c r="K20" s="380"/>
      <c r="L20" s="381"/>
      <c r="M20" s="10"/>
      <c r="N20" s="173">
        <v>1050</v>
      </c>
      <c r="O20" s="230">
        <f>N20*$O$15</f>
        <v>210</v>
      </c>
      <c r="P20" s="55">
        <f>N20*$P$15</f>
        <v>210</v>
      </c>
      <c r="Q20" s="55">
        <f>N20+O20+P20</f>
        <v>1470</v>
      </c>
      <c r="R20" s="164">
        <f>N20*B20</f>
        <v>1050</v>
      </c>
      <c r="S20" s="231">
        <f>O20*B20</f>
        <v>210</v>
      </c>
      <c r="T20" s="6"/>
    </row>
    <row r="21" spans="1:20" ht="24.95" customHeight="1">
      <c r="A21" s="10"/>
      <c r="B21" s="213">
        <v>1</v>
      </c>
      <c r="C21" s="385" t="s">
        <v>151</v>
      </c>
      <c r="D21" s="386"/>
      <c r="E21" s="386"/>
      <c r="F21" s="386"/>
      <c r="G21" s="386"/>
      <c r="H21" s="386"/>
      <c r="I21" s="387"/>
      <c r="J21" s="48"/>
      <c r="K21" s="380"/>
      <c r="L21" s="381"/>
      <c r="M21" s="10"/>
      <c r="N21" s="173">
        <v>94</v>
      </c>
      <c r="O21" s="230">
        <f>N21*$O$15</f>
        <v>18.8</v>
      </c>
      <c r="P21" s="55">
        <f>N21*$P$15</f>
        <v>18.8</v>
      </c>
      <c r="Q21" s="55">
        <f>N21+O21+P21</f>
        <v>131.6</v>
      </c>
      <c r="R21" s="164">
        <f>N21*B21</f>
        <v>94</v>
      </c>
      <c r="S21" s="231">
        <f>O21*B21</f>
        <v>18.8</v>
      </c>
      <c r="T21" s="6"/>
    </row>
    <row r="22" spans="1:20" ht="24.95" customHeight="1">
      <c r="A22" s="10"/>
      <c r="B22" s="52">
        <v>2</v>
      </c>
      <c r="C22" s="385" t="s">
        <v>167</v>
      </c>
      <c r="D22" s="386"/>
      <c r="E22" s="386"/>
      <c r="F22" s="386"/>
      <c r="G22" s="386"/>
      <c r="H22" s="386"/>
      <c r="I22" s="387"/>
      <c r="J22" s="84"/>
      <c r="K22" s="380"/>
      <c r="L22" s="381"/>
      <c r="M22" s="14"/>
      <c r="N22" s="262">
        <v>4500</v>
      </c>
      <c r="O22" s="230">
        <f>N22*$O$16</f>
        <v>675</v>
      </c>
      <c r="P22" s="55">
        <f>N22*$P$16</f>
        <v>675</v>
      </c>
      <c r="Q22" s="55">
        <f t="shared" ref="Q22:Q25" si="0">N22+O22+P22</f>
        <v>5850</v>
      </c>
      <c r="R22" s="164">
        <f t="shared" ref="R22:R33" si="1">N22*B22</f>
        <v>9000</v>
      </c>
      <c r="S22" s="237">
        <f t="shared" ref="S22:S33" si="2">O22*B22</f>
        <v>1350</v>
      </c>
    </row>
    <row r="23" spans="1:20" ht="24.95" customHeight="1">
      <c r="A23" s="10"/>
      <c r="B23" s="113">
        <v>2</v>
      </c>
      <c r="C23" s="389" t="s">
        <v>168</v>
      </c>
      <c r="D23" s="390"/>
      <c r="E23" s="390"/>
      <c r="F23" s="390"/>
      <c r="G23" s="390"/>
      <c r="H23" s="390"/>
      <c r="I23" s="391"/>
      <c r="J23" s="84"/>
      <c r="K23" s="380"/>
      <c r="L23" s="381"/>
      <c r="M23" s="10"/>
      <c r="N23" s="173">
        <v>137</v>
      </c>
      <c r="O23" s="230">
        <f t="shared" ref="O23:O33" si="3">N23*$O$18</f>
        <v>27.400000000000002</v>
      </c>
      <c r="P23" s="55">
        <f t="shared" ref="P23:P25" si="4">N23*$P$18</f>
        <v>95.899999999999991</v>
      </c>
      <c r="Q23" s="55">
        <f t="shared" si="0"/>
        <v>260.3</v>
      </c>
      <c r="R23" s="164">
        <f t="shared" si="1"/>
        <v>274</v>
      </c>
      <c r="S23" s="237">
        <f t="shared" si="2"/>
        <v>54.800000000000004</v>
      </c>
      <c r="T23" s="6"/>
    </row>
    <row r="24" spans="1:20" ht="24.95" customHeight="1">
      <c r="A24" s="4"/>
      <c r="B24" s="52">
        <v>2</v>
      </c>
      <c r="C24" s="385" t="s">
        <v>158</v>
      </c>
      <c r="D24" s="386"/>
      <c r="E24" s="386"/>
      <c r="F24" s="386"/>
      <c r="G24" s="386"/>
      <c r="H24" s="386"/>
      <c r="I24" s="387"/>
      <c r="J24" s="84"/>
      <c r="K24" s="380"/>
      <c r="L24" s="381"/>
      <c r="M24" s="14"/>
      <c r="N24" s="258">
        <v>395</v>
      </c>
      <c r="O24" s="230">
        <f t="shared" si="3"/>
        <v>79</v>
      </c>
      <c r="P24" s="55">
        <f t="shared" si="4"/>
        <v>276.5</v>
      </c>
      <c r="Q24" s="55">
        <f t="shared" si="0"/>
        <v>750.5</v>
      </c>
      <c r="R24" s="164">
        <f t="shared" si="1"/>
        <v>790</v>
      </c>
      <c r="S24" s="231">
        <f t="shared" si="2"/>
        <v>158</v>
      </c>
    </row>
    <row r="25" spans="1:20" ht="24.95" customHeight="1">
      <c r="A25" s="4"/>
      <c r="B25" s="52">
        <v>2</v>
      </c>
      <c r="C25" s="379" t="s">
        <v>159</v>
      </c>
      <c r="D25" s="379"/>
      <c r="E25" s="379"/>
      <c r="F25" s="379"/>
      <c r="G25" s="379"/>
      <c r="H25" s="379"/>
      <c r="I25" s="379"/>
      <c r="J25" s="84"/>
      <c r="K25" s="380"/>
      <c r="L25" s="381"/>
      <c r="M25" s="14"/>
      <c r="N25" s="259">
        <v>25</v>
      </c>
      <c r="O25" s="230">
        <f t="shared" si="3"/>
        <v>5</v>
      </c>
      <c r="P25" s="55">
        <f t="shared" si="4"/>
        <v>17.5</v>
      </c>
      <c r="Q25" s="55">
        <f t="shared" si="0"/>
        <v>47.5</v>
      </c>
      <c r="R25" s="164">
        <f t="shared" si="1"/>
        <v>50</v>
      </c>
      <c r="S25" s="231">
        <f t="shared" si="2"/>
        <v>10</v>
      </c>
    </row>
    <row r="26" spans="1:20" ht="28.35" customHeight="1">
      <c r="A26" s="4"/>
      <c r="B26" s="52">
        <v>1</v>
      </c>
      <c r="C26" s="379" t="s">
        <v>160</v>
      </c>
      <c r="D26" s="379"/>
      <c r="E26" s="379"/>
      <c r="F26" s="379"/>
      <c r="G26" s="379"/>
      <c r="H26" s="379"/>
      <c r="I26" s="379"/>
      <c r="J26" s="84"/>
      <c r="K26" s="380"/>
      <c r="L26" s="381"/>
      <c r="M26" s="187"/>
      <c r="N26" s="260">
        <v>35</v>
      </c>
      <c r="O26" s="230">
        <f t="shared" si="3"/>
        <v>7</v>
      </c>
      <c r="P26" s="55">
        <f>N26*$P$18</f>
        <v>24.5</v>
      </c>
      <c r="Q26" s="55">
        <f>N26+O26+P26</f>
        <v>66.5</v>
      </c>
      <c r="R26" s="164">
        <f t="shared" si="1"/>
        <v>35</v>
      </c>
      <c r="S26" s="231">
        <f t="shared" si="2"/>
        <v>7</v>
      </c>
    </row>
    <row r="27" spans="1:20" ht="24.95" customHeight="1">
      <c r="A27" s="4"/>
      <c r="B27" s="50">
        <v>1</v>
      </c>
      <c r="C27" s="379" t="s">
        <v>161</v>
      </c>
      <c r="D27" s="379"/>
      <c r="E27" s="379"/>
      <c r="F27" s="379"/>
      <c r="G27" s="379"/>
      <c r="H27" s="379"/>
      <c r="I27" s="379"/>
      <c r="J27" s="84"/>
      <c r="K27" s="380"/>
      <c r="L27" s="381"/>
      <c r="M27" s="14"/>
      <c r="N27" s="261">
        <v>40</v>
      </c>
      <c r="O27" s="230">
        <f t="shared" si="3"/>
        <v>8</v>
      </c>
      <c r="P27" s="55">
        <f>N27*$P$18</f>
        <v>28</v>
      </c>
      <c r="Q27" s="55">
        <f>N27+O27+P27</f>
        <v>76</v>
      </c>
      <c r="R27" s="164">
        <f t="shared" si="1"/>
        <v>40</v>
      </c>
      <c r="S27" s="231">
        <f t="shared" si="2"/>
        <v>8</v>
      </c>
    </row>
    <row r="28" spans="1:20" ht="24.95" customHeight="1">
      <c r="A28" s="4"/>
      <c r="B28" s="50">
        <v>1</v>
      </c>
      <c r="C28" s="379" t="s">
        <v>162</v>
      </c>
      <c r="D28" s="379"/>
      <c r="E28" s="379"/>
      <c r="F28" s="379"/>
      <c r="G28" s="379"/>
      <c r="H28" s="379"/>
      <c r="I28" s="379"/>
      <c r="J28" s="84"/>
      <c r="K28" s="380"/>
      <c r="L28" s="381"/>
      <c r="M28" s="14"/>
      <c r="N28" s="261">
        <v>10</v>
      </c>
      <c r="O28" s="230">
        <f t="shared" si="3"/>
        <v>2</v>
      </c>
      <c r="P28" s="55">
        <f>N28*$P$18</f>
        <v>7</v>
      </c>
      <c r="Q28" s="55">
        <f>N28+O28+P28</f>
        <v>19</v>
      </c>
      <c r="R28" s="164">
        <f t="shared" si="1"/>
        <v>10</v>
      </c>
      <c r="S28" s="231">
        <f t="shared" si="2"/>
        <v>2</v>
      </c>
    </row>
    <row r="29" spans="1:20" ht="24.95" customHeight="1">
      <c r="A29" s="4"/>
      <c r="B29" s="50">
        <v>1</v>
      </c>
      <c r="C29" s="379" t="s">
        <v>163</v>
      </c>
      <c r="D29" s="379"/>
      <c r="E29" s="379"/>
      <c r="F29" s="379"/>
      <c r="G29" s="379"/>
      <c r="H29" s="379"/>
      <c r="I29" s="379"/>
      <c r="J29" s="84"/>
      <c r="K29" s="380"/>
      <c r="L29" s="381"/>
      <c r="M29" s="14"/>
      <c r="N29" s="261">
        <v>10</v>
      </c>
      <c r="O29" s="230">
        <f t="shared" si="3"/>
        <v>2</v>
      </c>
      <c r="P29" s="55">
        <f>N29*$P$18</f>
        <v>7</v>
      </c>
      <c r="Q29" s="55">
        <f>N29+O29+P29</f>
        <v>19</v>
      </c>
      <c r="R29" s="164">
        <f t="shared" si="1"/>
        <v>10</v>
      </c>
      <c r="S29" s="231">
        <f t="shared" si="2"/>
        <v>2</v>
      </c>
    </row>
    <row r="30" spans="1:20" ht="24.95" customHeight="1">
      <c r="A30" s="10"/>
      <c r="B30" s="113">
        <v>3</v>
      </c>
      <c r="C30" s="379" t="s">
        <v>121</v>
      </c>
      <c r="D30" s="379"/>
      <c r="E30" s="379"/>
      <c r="F30" s="379"/>
      <c r="G30" s="379"/>
      <c r="H30" s="379"/>
      <c r="I30" s="379"/>
      <c r="J30" s="84"/>
      <c r="K30" s="380"/>
      <c r="L30" s="381"/>
      <c r="M30" s="10"/>
      <c r="N30" s="172">
        <v>70</v>
      </c>
      <c r="O30" s="230">
        <f t="shared" si="3"/>
        <v>14</v>
      </c>
      <c r="P30" s="55">
        <f t="shared" ref="P30:P33" si="5">N30*$P$18</f>
        <v>49</v>
      </c>
      <c r="Q30" s="55">
        <f t="shared" ref="Q30:Q33" si="6">N30+O30+P30</f>
        <v>133</v>
      </c>
      <c r="R30" s="164">
        <f t="shared" si="1"/>
        <v>210</v>
      </c>
      <c r="S30" s="231">
        <f t="shared" si="2"/>
        <v>42</v>
      </c>
      <c r="T30" s="6"/>
    </row>
    <row r="31" spans="1:20" ht="24.95" customHeight="1">
      <c r="A31" s="4"/>
      <c r="B31" s="52">
        <v>5</v>
      </c>
      <c r="C31" s="379" t="s">
        <v>169</v>
      </c>
      <c r="D31" s="379"/>
      <c r="E31" s="379"/>
      <c r="F31" s="379"/>
      <c r="G31" s="379"/>
      <c r="H31" s="379"/>
      <c r="I31" s="379"/>
      <c r="J31" s="84"/>
      <c r="K31" s="380"/>
      <c r="L31" s="381"/>
      <c r="M31" s="14"/>
      <c r="N31" s="258">
        <v>35</v>
      </c>
      <c r="O31" s="230">
        <f t="shared" si="3"/>
        <v>7</v>
      </c>
      <c r="P31" s="55">
        <f t="shared" si="5"/>
        <v>24.5</v>
      </c>
      <c r="Q31" s="55">
        <f t="shared" si="6"/>
        <v>66.5</v>
      </c>
      <c r="R31" s="164">
        <f t="shared" si="1"/>
        <v>175</v>
      </c>
      <c r="S31" s="237">
        <f t="shared" si="2"/>
        <v>35</v>
      </c>
    </row>
    <row r="32" spans="1:20" ht="24.95" customHeight="1">
      <c r="A32" s="4"/>
      <c r="B32" s="50">
        <v>3</v>
      </c>
      <c r="C32" s="388" t="s">
        <v>135</v>
      </c>
      <c r="D32" s="388"/>
      <c r="E32" s="388"/>
      <c r="F32" s="388"/>
      <c r="G32" s="388"/>
      <c r="H32" s="388"/>
      <c r="I32" s="388"/>
      <c r="J32" s="84"/>
      <c r="K32" s="380"/>
      <c r="L32" s="381"/>
      <c r="M32" s="51"/>
      <c r="N32" s="173">
        <v>35</v>
      </c>
      <c r="O32" s="230">
        <f t="shared" si="3"/>
        <v>7</v>
      </c>
      <c r="P32" s="55">
        <f t="shared" si="5"/>
        <v>24.5</v>
      </c>
      <c r="Q32" s="55">
        <f t="shared" si="6"/>
        <v>66.5</v>
      </c>
      <c r="R32" s="164">
        <f t="shared" si="1"/>
        <v>105</v>
      </c>
      <c r="S32" s="231">
        <f t="shared" si="2"/>
        <v>21</v>
      </c>
    </row>
    <row r="33" spans="1:20" ht="24.95" customHeight="1">
      <c r="A33" s="10"/>
      <c r="B33" s="52">
        <v>2</v>
      </c>
      <c r="C33" s="379" t="s">
        <v>166</v>
      </c>
      <c r="D33" s="379"/>
      <c r="E33" s="379"/>
      <c r="F33" s="379"/>
      <c r="G33" s="379"/>
      <c r="H33" s="379"/>
      <c r="I33" s="379"/>
      <c r="J33" s="84"/>
      <c r="K33" s="380"/>
      <c r="L33" s="381"/>
      <c r="M33" s="114"/>
      <c r="N33" s="176">
        <v>7</v>
      </c>
      <c r="O33" s="230">
        <f t="shared" si="3"/>
        <v>1.4000000000000001</v>
      </c>
      <c r="P33" s="55">
        <f t="shared" si="5"/>
        <v>4.8999999999999995</v>
      </c>
      <c r="Q33" s="55">
        <f t="shared" si="6"/>
        <v>13.3</v>
      </c>
      <c r="R33" s="164">
        <f t="shared" si="1"/>
        <v>14</v>
      </c>
      <c r="S33" s="231">
        <f t="shared" si="2"/>
        <v>2.8000000000000003</v>
      </c>
    </row>
    <row r="34" spans="1:20" ht="24.95" customHeight="1">
      <c r="A34" s="4"/>
      <c r="B34" s="52"/>
      <c r="C34" s="379"/>
      <c r="D34" s="379"/>
      <c r="E34" s="379"/>
      <c r="F34" s="379"/>
      <c r="G34" s="379"/>
      <c r="H34" s="379"/>
      <c r="I34" s="379"/>
      <c r="J34" s="84"/>
      <c r="K34" s="380"/>
      <c r="L34" s="381"/>
      <c r="M34" s="14"/>
      <c r="N34" s="258"/>
      <c r="O34" s="230"/>
      <c r="P34" s="55"/>
      <c r="Q34" s="55"/>
      <c r="R34" s="164"/>
      <c r="S34" s="237"/>
    </row>
    <row r="35" spans="1:20" ht="24.95" customHeight="1">
      <c r="A35" s="10"/>
      <c r="B35" s="113"/>
      <c r="C35" s="379"/>
      <c r="D35" s="379"/>
      <c r="E35" s="379"/>
      <c r="F35" s="379"/>
      <c r="G35" s="379"/>
      <c r="H35" s="379"/>
      <c r="I35" s="379"/>
      <c r="J35" s="84"/>
      <c r="K35" s="380"/>
      <c r="L35" s="381"/>
      <c r="M35" s="10"/>
      <c r="N35" s="172"/>
      <c r="O35" s="230"/>
      <c r="P35" s="55"/>
      <c r="Q35" s="55"/>
      <c r="R35" s="164">
        <f>SUM(R20:R33)</f>
        <v>11857</v>
      </c>
      <c r="S35" s="231">
        <f>SUM(S20:S33)</f>
        <v>1921.3999999999999</v>
      </c>
      <c r="T35" s="6"/>
    </row>
    <row r="36" spans="1:20" ht="24.95" customHeight="1">
      <c r="A36" s="10"/>
      <c r="B36" s="52"/>
      <c r="C36" s="385"/>
      <c r="D36" s="386"/>
      <c r="E36" s="386"/>
      <c r="F36" s="386"/>
      <c r="G36" s="386"/>
      <c r="H36" s="386"/>
      <c r="I36" s="387"/>
      <c r="J36" s="84"/>
      <c r="K36" s="380"/>
      <c r="L36" s="381"/>
      <c r="M36" s="114"/>
      <c r="N36" s="176"/>
      <c r="O36" s="230"/>
      <c r="P36" s="55"/>
      <c r="Q36" s="55"/>
      <c r="R36" s="164"/>
      <c r="S36" s="231"/>
    </row>
    <row r="37" spans="1:20" ht="30" customHeight="1">
      <c r="A37" s="4"/>
      <c r="B37" s="50"/>
      <c r="C37" s="379"/>
      <c r="D37" s="379"/>
      <c r="E37" s="379"/>
      <c r="F37" s="379"/>
      <c r="G37" s="379"/>
      <c r="H37" s="379"/>
      <c r="I37" s="379"/>
      <c r="J37" s="48"/>
      <c r="K37" s="380"/>
      <c r="L37" s="381"/>
      <c r="M37" s="51"/>
      <c r="O37" s="162"/>
      <c r="P37" s="171"/>
      <c r="Q37" s="171"/>
      <c r="R37" s="224"/>
      <c r="S37" s="225"/>
    </row>
    <row r="38" spans="1:20" s="93" customFormat="1" ht="31.5" customHeight="1">
      <c r="A38" s="15"/>
      <c r="B38" s="189"/>
      <c r="C38" s="382"/>
      <c r="D38" s="382"/>
      <c r="E38" s="382"/>
      <c r="F38" s="382"/>
      <c r="G38" s="382"/>
      <c r="H38" s="382"/>
      <c r="I38" s="382"/>
      <c r="J38" s="206"/>
      <c r="K38" s="383"/>
      <c r="L38" s="384"/>
      <c r="M38" s="137"/>
      <c r="N38" s="263"/>
      <c r="O38" s="215"/>
      <c r="P38" s="216"/>
      <c r="Q38" s="216"/>
      <c r="R38" s="217"/>
      <c r="S38" s="218"/>
    </row>
  </sheetData>
  <mergeCells count="68">
    <mergeCell ref="G2:I2"/>
    <mergeCell ref="G3:I3"/>
    <mergeCell ref="B4:F5"/>
    <mergeCell ref="G4:I4"/>
    <mergeCell ref="J4:K4"/>
    <mergeCell ref="G5:I5"/>
    <mergeCell ref="J5:K5"/>
    <mergeCell ref="G6:I6"/>
    <mergeCell ref="C9:E9"/>
    <mergeCell ref="G9:I9"/>
    <mergeCell ref="J9:K9"/>
    <mergeCell ref="C10:E10"/>
    <mergeCell ref="G10:I10"/>
    <mergeCell ref="J10:L10"/>
    <mergeCell ref="C11:E11"/>
    <mergeCell ref="G11:I11"/>
    <mergeCell ref="J11:K11"/>
    <mergeCell ref="C12:E12"/>
    <mergeCell ref="G12:I12"/>
    <mergeCell ref="J12:K12"/>
    <mergeCell ref="C21:I21"/>
    <mergeCell ref="K21:L21"/>
    <mergeCell ref="C13:E13"/>
    <mergeCell ref="G13:I13"/>
    <mergeCell ref="J13:K13"/>
    <mergeCell ref="C14:E14"/>
    <mergeCell ref="G14:I14"/>
    <mergeCell ref="C15:I15"/>
    <mergeCell ref="K15:L15"/>
    <mergeCell ref="B17:L17"/>
    <mergeCell ref="C19:I19"/>
    <mergeCell ref="K19:L19"/>
    <mergeCell ref="C20:I20"/>
    <mergeCell ref="K20:L20"/>
    <mergeCell ref="C22:I22"/>
    <mergeCell ref="K22:L22"/>
    <mergeCell ref="C23:I23"/>
    <mergeCell ref="K23:L23"/>
    <mergeCell ref="C24:I24"/>
    <mergeCell ref="K24:L24"/>
    <mergeCell ref="C25:I25"/>
    <mergeCell ref="K25:L25"/>
    <mergeCell ref="C26:I26"/>
    <mergeCell ref="K26:L26"/>
    <mergeCell ref="C27:I27"/>
    <mergeCell ref="K27:L27"/>
    <mergeCell ref="C28:I28"/>
    <mergeCell ref="K28:L28"/>
    <mergeCell ref="C29:I29"/>
    <mergeCell ref="K29:L29"/>
    <mergeCell ref="C30:I30"/>
    <mergeCell ref="K30:L30"/>
    <mergeCell ref="C31:I31"/>
    <mergeCell ref="K31:L31"/>
    <mergeCell ref="C32:I32"/>
    <mergeCell ref="K32:L32"/>
    <mergeCell ref="C33:I33"/>
    <mergeCell ref="K33:L33"/>
    <mergeCell ref="C37:I37"/>
    <mergeCell ref="K37:L37"/>
    <mergeCell ref="C38:I38"/>
    <mergeCell ref="K38:L38"/>
    <mergeCell ref="C34:I34"/>
    <mergeCell ref="K34:L34"/>
    <mergeCell ref="C35:I35"/>
    <mergeCell ref="K35:L35"/>
    <mergeCell ref="C36:I36"/>
    <mergeCell ref="K36:L36"/>
  </mergeCells>
  <dataValidations count="4">
    <dataValidation errorStyle="warning" allowBlank="1" showInputMessage="1" errorTitle="Estado" promptTitle="Estado" prompt="Escriba la abreviatura del estado en esta celda." sqref="E11" xr:uid="{00000000-0002-0000-0000-000000000000}"/>
    <dataValidation allowBlank="1" showInputMessage="1" showErrorMessage="1" promptTitle="Información de la organización" prompt="Para escribir varias líneas en una celda, use Alt+Entrar.  También puede personalizar esta plantilla y guardarla como una nueva para su uso posterior. Para más información sobre cómo crear plantillas personalizadas, vea los temas de ayuda." sqref="B1:I1" xr:uid="{00000000-0002-0000-0000-000001000000}"/>
    <dataValidation type="whole" errorStyle="warning" allowBlank="1" showErrorMessage="1" errorTitle="Cantidad" error="Debe escribir un número en esta celda." promptTitle="Cantidad" sqref="B19 B22 B36:B38 B32:B33 B24:B29" xr:uid="{00000000-0002-0000-0000-000002000000}">
      <formula1>0</formula1>
      <formula2>1000000000</formula2>
    </dataValidation>
    <dataValidation type="decimal" allowBlank="1" showErrorMessage="1" errorTitle="Precio unitario" error="Debe escribir un número en esta celda." promptTitle="Precio unitario" sqref="J19:J36" xr:uid="{00000000-0002-0000-0000-000003000000}">
      <formula1>0</formula1>
      <formula2>1000000000</formula2>
    </dataValidation>
  </dataValidations>
  <hyperlinks>
    <hyperlink ref="J4" r:id="rId1" xr:uid="{00000000-0004-0000-0000-000000000000}"/>
    <hyperlink ref="J5" r:id="rId2" xr:uid="{00000000-0004-0000-0000-000001000000}"/>
  </hyperlinks>
  <pageMargins left="0.23622047244094491" right="0.23622047244094491" top="0.74803149606299213" bottom="0.74803149606299213" header="0.31496062992125984" footer="0.31496062992125984"/>
  <pageSetup paperSize="9" orientation="portrait" r:id="rId3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6"/>
  <sheetViews>
    <sheetView topLeftCell="A17" workbookViewId="0">
      <selection activeCell="C26" sqref="C26:I26"/>
    </sheetView>
  </sheetViews>
  <sheetFormatPr baseColWidth="10" defaultColWidth="2.7109375" defaultRowHeight="10.5"/>
  <cols>
    <col min="1" max="1" width="1.28515625" style="5" customWidth="1"/>
    <col min="2" max="2" width="15.7109375" style="5" customWidth="1"/>
    <col min="3" max="3" width="14.5703125" style="5" customWidth="1"/>
    <col min="4" max="4" width="9.140625" style="5" customWidth="1"/>
    <col min="5" max="5" width="8.42578125" style="5" customWidth="1"/>
    <col min="6" max="6" width="1.28515625" style="5" customWidth="1"/>
    <col min="7" max="7" width="8.28515625" style="5" customWidth="1"/>
    <col min="8" max="8" width="1.42578125" style="5" customWidth="1"/>
    <col min="9" max="9" width="4.28515625" style="5" customWidth="1"/>
    <col min="10" max="10" width="15.28515625" style="78" customWidth="1"/>
    <col min="11" max="11" width="16.7109375" style="5" customWidth="1"/>
    <col min="12" max="12" width="1.140625" style="5" customWidth="1"/>
    <col min="13" max="13" width="1.28515625" style="5" customWidth="1"/>
    <col min="14" max="14" width="20.5703125" style="172" customWidth="1"/>
    <col min="15" max="17" width="23.5703125" style="158" customWidth="1"/>
    <col min="18" max="18" width="21.42578125" style="163" customWidth="1"/>
    <col min="19" max="19" width="16" style="169" customWidth="1"/>
    <col min="20" max="20" width="19.7109375" style="172" customWidth="1"/>
    <col min="21" max="22" width="2.7109375" style="172"/>
    <col min="23" max="16384" width="2.7109375" style="5"/>
  </cols>
  <sheetData>
    <row r="1" spans="1:22" ht="12.75" thickBot="1">
      <c r="A1" s="19"/>
      <c r="B1" s="20"/>
      <c r="C1" s="20"/>
      <c r="D1" s="21"/>
      <c r="E1" s="21"/>
      <c r="F1" s="21"/>
      <c r="G1" s="21"/>
      <c r="H1" s="21"/>
      <c r="I1" s="21"/>
      <c r="J1" s="22"/>
      <c r="K1" s="23"/>
      <c r="L1" s="24"/>
      <c r="M1" s="24"/>
    </row>
    <row r="2" spans="1:22" ht="12">
      <c r="A2" s="4"/>
      <c r="B2" s="25"/>
      <c r="C2" s="26"/>
      <c r="D2" s="27"/>
      <c r="E2" s="27"/>
      <c r="F2" s="27"/>
      <c r="G2" s="349" t="s">
        <v>0</v>
      </c>
      <c r="H2" s="350"/>
      <c r="I2" s="350"/>
      <c r="J2" s="28" t="s">
        <v>1</v>
      </c>
      <c r="K2" s="29"/>
      <c r="L2" s="30"/>
      <c r="M2" s="30"/>
    </row>
    <row r="3" spans="1:22" ht="12">
      <c r="A3" s="4"/>
      <c r="B3" s="25"/>
      <c r="C3" s="31"/>
      <c r="D3" s="32"/>
      <c r="E3" s="32"/>
      <c r="F3" s="32"/>
      <c r="G3" s="351" t="s">
        <v>2</v>
      </c>
      <c r="H3" s="352"/>
      <c r="I3" s="352"/>
      <c r="J3" s="18" t="s">
        <v>3</v>
      </c>
      <c r="K3" s="18" t="s">
        <v>4</v>
      </c>
      <c r="L3" s="222"/>
      <c r="M3" s="222"/>
    </row>
    <row r="4" spans="1:22" ht="14.25" customHeight="1">
      <c r="A4" s="34"/>
      <c r="B4" s="398" t="s">
        <v>5</v>
      </c>
      <c r="C4" s="398"/>
      <c r="D4" s="398"/>
      <c r="E4" s="398"/>
      <c r="F4" s="399"/>
      <c r="G4" s="351" t="s">
        <v>6</v>
      </c>
      <c r="H4" s="352"/>
      <c r="I4" s="352"/>
      <c r="J4" s="359" t="s">
        <v>7</v>
      </c>
      <c r="K4" s="359"/>
      <c r="L4" s="14"/>
      <c r="M4" s="14"/>
    </row>
    <row r="5" spans="1:22" ht="12.75" thickBot="1">
      <c r="A5" s="4"/>
      <c r="B5" s="400"/>
      <c r="C5" s="400"/>
      <c r="D5" s="400"/>
      <c r="E5" s="400"/>
      <c r="F5" s="401"/>
      <c r="G5" s="351" t="s">
        <v>8</v>
      </c>
      <c r="H5" s="352"/>
      <c r="I5" s="352"/>
      <c r="J5" s="359" t="s">
        <v>9</v>
      </c>
      <c r="K5" s="359"/>
      <c r="L5" s="14"/>
      <c r="M5" s="14"/>
    </row>
    <row r="6" spans="1:22" ht="12.75" thickBot="1">
      <c r="A6" s="4"/>
      <c r="B6" s="35"/>
      <c r="C6" s="35"/>
      <c r="D6" s="35"/>
      <c r="E6" s="35"/>
      <c r="F6" s="35"/>
      <c r="G6" s="361"/>
      <c r="H6" s="361"/>
      <c r="I6" s="361"/>
      <c r="J6" s="36"/>
      <c r="K6" s="35"/>
      <c r="L6" s="14"/>
      <c r="M6" s="14"/>
    </row>
    <row r="7" spans="1:22" ht="12.75" thickBot="1">
      <c r="A7" s="4"/>
      <c r="B7" s="37" t="s">
        <v>10</v>
      </c>
      <c r="C7" s="38"/>
      <c r="D7" s="39"/>
      <c r="E7" s="39"/>
      <c r="F7" s="40"/>
      <c r="G7" s="41"/>
      <c r="H7" s="39"/>
      <c r="I7" s="41"/>
      <c r="J7" s="42"/>
      <c r="K7" s="39"/>
      <c r="L7" s="105"/>
      <c r="M7" s="14"/>
      <c r="N7" s="163"/>
      <c r="T7" s="5"/>
      <c r="U7" s="5"/>
      <c r="V7" s="5"/>
    </row>
    <row r="8" spans="1:22" ht="12">
      <c r="A8" s="10"/>
      <c r="B8" s="39"/>
      <c r="C8" s="35"/>
      <c r="D8" s="35"/>
      <c r="E8" s="35"/>
      <c r="F8" s="11"/>
      <c r="G8" s="35"/>
      <c r="H8" s="35"/>
      <c r="I8" s="35"/>
      <c r="J8" s="26"/>
      <c r="K8" s="35"/>
      <c r="L8" s="14"/>
      <c r="M8" s="14"/>
      <c r="N8" s="163"/>
      <c r="T8" s="5"/>
      <c r="U8" s="5"/>
      <c r="V8" s="5"/>
    </row>
    <row r="9" spans="1:22" ht="12">
      <c r="A9" s="10"/>
      <c r="B9" s="148" t="s">
        <v>11</v>
      </c>
      <c r="C9" s="355" t="s">
        <v>66</v>
      </c>
      <c r="D9" s="355"/>
      <c r="E9" s="355"/>
      <c r="F9" s="11"/>
      <c r="G9" s="354" t="s">
        <v>12</v>
      </c>
      <c r="H9" s="352"/>
      <c r="I9" s="352"/>
      <c r="J9" s="394">
        <v>43215</v>
      </c>
      <c r="K9" s="394"/>
      <c r="L9" s="79"/>
      <c r="M9" s="14"/>
      <c r="N9" s="163"/>
      <c r="T9" s="5"/>
      <c r="U9" s="5"/>
      <c r="V9" s="5"/>
    </row>
    <row r="10" spans="1:22" ht="25.5" customHeight="1">
      <c r="A10" s="10"/>
      <c r="B10" s="148" t="s">
        <v>13</v>
      </c>
      <c r="C10" s="395" t="s">
        <v>67</v>
      </c>
      <c r="D10" s="395"/>
      <c r="E10" s="395"/>
      <c r="F10" s="11"/>
      <c r="G10" s="354" t="s">
        <v>14</v>
      </c>
      <c r="H10" s="352"/>
      <c r="I10" s="352"/>
      <c r="J10" s="396" t="s">
        <v>196</v>
      </c>
      <c r="K10" s="396"/>
      <c r="L10" s="397"/>
      <c r="M10" s="14"/>
      <c r="N10" s="163"/>
      <c r="T10" s="5"/>
      <c r="U10" s="5"/>
      <c r="V10" s="5"/>
    </row>
    <row r="11" spans="1:22" ht="12">
      <c r="A11" s="10"/>
      <c r="B11" s="148" t="s">
        <v>15</v>
      </c>
      <c r="C11" s="353" t="s">
        <v>16</v>
      </c>
      <c r="D11" s="353"/>
      <c r="E11" s="353"/>
      <c r="F11" s="11"/>
      <c r="G11" s="354" t="s">
        <v>17</v>
      </c>
      <c r="H11" s="352"/>
      <c r="I11" s="352"/>
      <c r="J11" s="392">
        <v>1</v>
      </c>
      <c r="K11" s="392"/>
      <c r="L11" s="79"/>
      <c r="M11" s="14"/>
      <c r="N11" s="163"/>
      <c r="T11" s="5"/>
      <c r="U11" s="5"/>
      <c r="V11" s="5"/>
    </row>
    <row r="12" spans="1:22" ht="12">
      <c r="A12" s="10"/>
      <c r="B12" s="148"/>
      <c r="C12" s="353"/>
      <c r="D12" s="353"/>
      <c r="E12" s="353"/>
      <c r="F12" s="11"/>
      <c r="G12" s="354" t="s">
        <v>18</v>
      </c>
      <c r="H12" s="352"/>
      <c r="I12" s="352"/>
      <c r="J12" s="392">
        <v>1</v>
      </c>
      <c r="K12" s="392"/>
      <c r="L12" s="79"/>
      <c r="M12" s="14"/>
      <c r="N12" s="163"/>
      <c r="T12" s="5"/>
      <c r="U12" s="5"/>
      <c r="V12" s="5"/>
    </row>
    <row r="13" spans="1:22" ht="12">
      <c r="A13" s="10"/>
      <c r="B13" s="148" t="s">
        <v>19</v>
      </c>
      <c r="C13" s="353" t="s">
        <v>77</v>
      </c>
      <c r="D13" s="353"/>
      <c r="E13" s="353"/>
      <c r="F13" s="11"/>
      <c r="G13" s="354" t="s">
        <v>20</v>
      </c>
      <c r="H13" s="352"/>
      <c r="I13" s="352"/>
      <c r="J13" s="392" t="s">
        <v>197</v>
      </c>
      <c r="K13" s="392"/>
      <c r="L13" s="79"/>
      <c r="M13" s="14"/>
      <c r="N13" s="172" t="s">
        <v>51</v>
      </c>
      <c r="O13" s="158" t="s">
        <v>52</v>
      </c>
      <c r="P13" s="158" t="s">
        <v>42</v>
      </c>
      <c r="Q13" s="158" t="s">
        <v>25</v>
      </c>
      <c r="R13" s="163" t="s">
        <v>26</v>
      </c>
      <c r="S13" s="169" t="s">
        <v>58</v>
      </c>
      <c r="T13" s="5"/>
      <c r="U13" s="5"/>
      <c r="V13" s="5"/>
    </row>
    <row r="14" spans="1:22" ht="12">
      <c r="A14" s="10"/>
      <c r="B14" s="146"/>
      <c r="C14" s="367"/>
      <c r="D14" s="367"/>
      <c r="E14" s="367"/>
      <c r="F14" s="11"/>
      <c r="G14" s="368"/>
      <c r="H14" s="369"/>
      <c r="I14" s="369"/>
      <c r="J14" s="80"/>
      <c r="K14" s="81"/>
      <c r="L14" s="82"/>
      <c r="M14" s="14"/>
      <c r="N14" s="163"/>
      <c r="T14" s="5"/>
      <c r="U14" s="5"/>
      <c r="V14" s="5"/>
    </row>
    <row r="15" spans="1:22" ht="12">
      <c r="A15" s="10"/>
      <c r="B15" s="147" t="s">
        <v>137</v>
      </c>
      <c r="C15" s="370" t="s">
        <v>138</v>
      </c>
      <c r="D15" s="371"/>
      <c r="E15" s="371"/>
      <c r="F15" s="371"/>
      <c r="G15" s="371"/>
      <c r="H15" s="371"/>
      <c r="I15" s="372"/>
      <c r="J15" s="17"/>
      <c r="K15" s="373"/>
      <c r="L15" s="373"/>
      <c r="M15" s="14"/>
      <c r="N15" s="172" t="s">
        <v>107</v>
      </c>
      <c r="O15" s="159">
        <v>0.2</v>
      </c>
      <c r="P15" s="159">
        <v>0.2</v>
      </c>
    </row>
    <row r="16" spans="1:22" ht="12">
      <c r="A16" s="4"/>
      <c r="B16" s="43"/>
      <c r="C16" s="44"/>
      <c r="D16" s="44"/>
      <c r="E16" s="44"/>
      <c r="F16" s="44"/>
      <c r="G16" s="44"/>
      <c r="H16" s="44"/>
      <c r="I16" s="44"/>
      <c r="J16" s="96"/>
      <c r="K16" s="45"/>
      <c r="L16" s="46"/>
      <c r="M16" s="14"/>
      <c r="N16" s="172" t="s">
        <v>73</v>
      </c>
      <c r="O16" s="159">
        <v>0.15</v>
      </c>
      <c r="P16" s="159">
        <v>0.15</v>
      </c>
    </row>
    <row r="17" spans="1:22" ht="12">
      <c r="A17" s="4"/>
      <c r="B17" s="373" t="s">
        <v>196</v>
      </c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14"/>
      <c r="N17" s="172" t="s">
        <v>74</v>
      </c>
      <c r="O17" s="159">
        <v>0.1</v>
      </c>
      <c r="P17" s="159">
        <v>0.12</v>
      </c>
    </row>
    <row r="18" spans="1:22" ht="12">
      <c r="A18" s="4"/>
      <c r="B18" s="123"/>
      <c r="C18" s="416"/>
      <c r="D18" s="416"/>
      <c r="E18" s="416"/>
      <c r="F18" s="416"/>
      <c r="G18" s="416"/>
      <c r="H18" s="416"/>
      <c r="I18" s="416"/>
      <c r="J18" s="124"/>
      <c r="K18" s="417"/>
      <c r="L18" s="418"/>
      <c r="M18" s="14"/>
      <c r="N18" s="172" t="s">
        <v>75</v>
      </c>
      <c r="O18" s="159">
        <v>0.2</v>
      </c>
      <c r="P18" s="159">
        <v>0.7</v>
      </c>
    </row>
    <row r="19" spans="1:22" ht="24.95" hidden="1" customHeight="1">
      <c r="A19" s="4"/>
      <c r="B19" s="107"/>
      <c r="C19" s="402"/>
      <c r="D19" s="402"/>
      <c r="E19" s="402"/>
      <c r="F19" s="402"/>
      <c r="G19" s="402"/>
      <c r="H19" s="402"/>
      <c r="I19" s="402"/>
      <c r="J19" s="48"/>
      <c r="K19" s="403"/>
      <c r="L19" s="404"/>
      <c r="M19" s="14"/>
      <c r="N19" s="173"/>
      <c r="T19" s="174"/>
    </row>
    <row r="20" spans="1:22" ht="24.95" customHeight="1">
      <c r="A20" s="10"/>
      <c r="B20" s="213">
        <v>1</v>
      </c>
      <c r="C20" s="385" t="s">
        <v>150</v>
      </c>
      <c r="D20" s="386" t="s">
        <v>27</v>
      </c>
      <c r="E20" s="386" t="s">
        <v>27</v>
      </c>
      <c r="F20" s="386" t="s">
        <v>27</v>
      </c>
      <c r="G20" s="386" t="s">
        <v>27</v>
      </c>
      <c r="H20" s="386" t="s">
        <v>27</v>
      </c>
      <c r="I20" s="387" t="s">
        <v>27</v>
      </c>
      <c r="J20" s="48"/>
      <c r="K20" s="380"/>
      <c r="L20" s="381"/>
      <c r="M20" s="10"/>
      <c r="N20" s="173">
        <v>1050</v>
      </c>
      <c r="O20" s="230">
        <f>N20*$O$15</f>
        <v>210</v>
      </c>
      <c r="P20" s="55">
        <f>N20*$P$15</f>
        <v>210</v>
      </c>
      <c r="Q20" s="55">
        <f>N20+O20+P20</f>
        <v>1470</v>
      </c>
      <c r="R20" s="164">
        <f>N20*B20</f>
        <v>1050</v>
      </c>
      <c r="S20" s="231">
        <f>O20*B20</f>
        <v>210</v>
      </c>
      <c r="T20" s="6"/>
      <c r="U20" s="5"/>
      <c r="V20" s="5"/>
    </row>
    <row r="21" spans="1:22" ht="24.95" customHeight="1">
      <c r="A21" s="10"/>
      <c r="B21" s="213">
        <v>1</v>
      </c>
      <c r="C21" s="385" t="s">
        <v>151</v>
      </c>
      <c r="D21" s="386"/>
      <c r="E21" s="386"/>
      <c r="F21" s="386"/>
      <c r="G21" s="386"/>
      <c r="H21" s="386"/>
      <c r="I21" s="387"/>
      <c r="J21" s="48"/>
      <c r="K21" s="380"/>
      <c r="L21" s="381"/>
      <c r="M21" s="10"/>
      <c r="N21" s="173">
        <v>94</v>
      </c>
      <c r="O21" s="230">
        <f>N21*$O$15</f>
        <v>18.8</v>
      </c>
      <c r="P21" s="55">
        <f>N21*$P$15</f>
        <v>18.8</v>
      </c>
      <c r="Q21" s="55">
        <f>N21+O21+P21</f>
        <v>131.6</v>
      </c>
      <c r="R21" s="164">
        <f>N21*B21</f>
        <v>94</v>
      </c>
      <c r="S21" s="231">
        <f>O21*B21</f>
        <v>18.8</v>
      </c>
      <c r="T21" s="6"/>
      <c r="U21" s="5"/>
      <c r="V21" s="5"/>
    </row>
    <row r="22" spans="1:22" ht="21.75" customHeight="1">
      <c r="A22" s="4"/>
      <c r="B22" s="107">
        <v>1</v>
      </c>
      <c r="C22" s="413" t="s">
        <v>152</v>
      </c>
      <c r="D22" s="414"/>
      <c r="E22" s="414"/>
      <c r="F22" s="414"/>
      <c r="G22" s="414"/>
      <c r="H22" s="414"/>
      <c r="I22" s="415"/>
      <c r="J22" s="181"/>
      <c r="K22" s="380"/>
      <c r="L22" s="381"/>
      <c r="M22" s="14"/>
      <c r="N22" s="173">
        <v>10</v>
      </c>
      <c r="O22" s="230">
        <f>N22*$O$18</f>
        <v>2</v>
      </c>
      <c r="P22" s="55">
        <f>N22*$P$18</f>
        <v>7</v>
      </c>
      <c r="Q22" s="55">
        <f>N22+O22+P22</f>
        <v>19</v>
      </c>
      <c r="R22" s="164">
        <f>N22*B22</f>
        <v>10</v>
      </c>
      <c r="S22" s="231">
        <f>O22*B22</f>
        <v>2</v>
      </c>
      <c r="T22" s="174" t="s">
        <v>104</v>
      </c>
    </row>
    <row r="23" spans="1:22" ht="24.95" customHeight="1">
      <c r="A23" s="4"/>
      <c r="B23" s="107">
        <v>2</v>
      </c>
      <c r="C23" s="389" t="s">
        <v>153</v>
      </c>
      <c r="D23" s="390"/>
      <c r="E23" s="390"/>
      <c r="F23" s="390"/>
      <c r="G23" s="390"/>
      <c r="H23" s="390"/>
      <c r="I23" s="391"/>
      <c r="J23" s="99"/>
      <c r="K23" s="380"/>
      <c r="L23" s="381"/>
      <c r="M23" s="14"/>
      <c r="N23" s="173">
        <v>774</v>
      </c>
      <c r="O23" s="230">
        <f>N23*$O$16</f>
        <v>116.1</v>
      </c>
      <c r="P23" s="55">
        <f>N23*$P$16</f>
        <v>116.1</v>
      </c>
      <c r="Q23" s="55">
        <f t="shared" ref="Q23:Q26" si="0">N23+O23+P23</f>
        <v>1006.2</v>
      </c>
      <c r="R23" s="164">
        <f t="shared" ref="R23:R26" si="1">N23*B23</f>
        <v>1548</v>
      </c>
      <c r="S23" s="231">
        <f t="shared" ref="S23:S26" si="2">O23*B23</f>
        <v>232.2</v>
      </c>
    </row>
    <row r="24" spans="1:22" ht="24.95" customHeight="1">
      <c r="A24" s="10"/>
      <c r="B24" s="107">
        <v>2</v>
      </c>
      <c r="C24" s="389" t="s">
        <v>154</v>
      </c>
      <c r="D24" s="390"/>
      <c r="E24" s="390"/>
      <c r="F24" s="390"/>
      <c r="G24" s="390"/>
      <c r="H24" s="390"/>
      <c r="I24" s="391"/>
      <c r="J24" s="48"/>
      <c r="K24" s="380"/>
      <c r="L24" s="381"/>
      <c r="M24" s="10"/>
      <c r="N24" s="173">
        <v>137</v>
      </c>
      <c r="O24" s="230">
        <f t="shared" ref="O24" si="3">N24*$O$18</f>
        <v>27.400000000000002</v>
      </c>
      <c r="P24" s="55">
        <f t="shared" ref="P24" si="4">N24*$P$18</f>
        <v>95.899999999999991</v>
      </c>
      <c r="Q24" s="55">
        <f t="shared" si="0"/>
        <v>260.3</v>
      </c>
      <c r="R24" s="164">
        <f t="shared" si="1"/>
        <v>274</v>
      </c>
      <c r="S24" s="231">
        <f t="shared" si="2"/>
        <v>54.800000000000004</v>
      </c>
      <c r="T24" s="6"/>
      <c r="U24" s="5"/>
      <c r="V24" s="5"/>
    </row>
    <row r="25" spans="1:22" ht="24.95" customHeight="1">
      <c r="A25" s="4"/>
      <c r="B25" s="107">
        <v>2</v>
      </c>
      <c r="C25" s="379" t="s">
        <v>155</v>
      </c>
      <c r="D25" s="379"/>
      <c r="E25" s="379"/>
      <c r="F25" s="379"/>
      <c r="G25" s="379"/>
      <c r="H25" s="379"/>
      <c r="I25" s="379"/>
      <c r="J25" s="99"/>
      <c r="K25" s="380"/>
      <c r="L25" s="381"/>
      <c r="M25" s="14"/>
      <c r="N25" s="173">
        <v>14</v>
      </c>
      <c r="O25" s="230">
        <f>N25*$O$16</f>
        <v>2.1</v>
      </c>
      <c r="P25" s="55">
        <f>N25*$P$16</f>
        <v>2.1</v>
      </c>
      <c r="Q25" s="55">
        <f t="shared" si="0"/>
        <v>18.200000000000003</v>
      </c>
      <c r="R25" s="164">
        <f t="shared" si="1"/>
        <v>28</v>
      </c>
      <c r="S25" s="231">
        <f t="shared" si="2"/>
        <v>4.2</v>
      </c>
      <c r="T25" s="172" t="s">
        <v>105</v>
      </c>
    </row>
    <row r="26" spans="1:22" ht="24.95" customHeight="1">
      <c r="A26" s="10"/>
      <c r="B26" s="52">
        <v>1</v>
      </c>
      <c r="C26" s="385" t="s">
        <v>128</v>
      </c>
      <c r="D26" s="386"/>
      <c r="E26" s="386"/>
      <c r="F26" s="386"/>
      <c r="G26" s="386"/>
      <c r="H26" s="386"/>
      <c r="I26" s="387"/>
      <c r="J26" s="84"/>
      <c r="K26" s="411"/>
      <c r="L26" s="412"/>
      <c r="M26" s="10"/>
      <c r="N26" s="234">
        <v>25</v>
      </c>
      <c r="O26" s="230">
        <f t="shared" ref="O26" si="5">N26*$O$18</f>
        <v>5</v>
      </c>
      <c r="P26" s="55">
        <f t="shared" ref="P26" si="6">N26*$P$18</f>
        <v>17.5</v>
      </c>
      <c r="Q26" s="55">
        <f t="shared" si="0"/>
        <v>47.5</v>
      </c>
      <c r="R26" s="164">
        <f t="shared" si="1"/>
        <v>25</v>
      </c>
      <c r="S26" s="231">
        <f t="shared" si="2"/>
        <v>5</v>
      </c>
      <c r="T26" s="5"/>
      <c r="U26" s="5"/>
      <c r="V26" s="5"/>
    </row>
    <row r="27" spans="1:22" ht="24.95" customHeight="1">
      <c r="A27" s="4"/>
      <c r="B27" s="108"/>
      <c r="C27" s="379"/>
      <c r="D27" s="379"/>
      <c r="E27" s="379"/>
      <c r="F27" s="379"/>
      <c r="G27" s="379"/>
      <c r="H27" s="379"/>
      <c r="I27" s="379"/>
      <c r="J27" s="48"/>
      <c r="K27" s="407"/>
      <c r="L27" s="408"/>
      <c r="M27" s="14"/>
      <c r="N27" s="173"/>
      <c r="O27" s="230"/>
      <c r="P27" s="55"/>
      <c r="Q27" s="55"/>
      <c r="R27" s="224">
        <f>SUM(R20:R26)</f>
        <v>3029</v>
      </c>
      <c r="S27" s="225">
        <f>SUM(S20:S26)</f>
        <v>527</v>
      </c>
      <c r="T27" s="174"/>
    </row>
    <row r="28" spans="1:22" ht="24.95" customHeight="1">
      <c r="A28" s="4"/>
      <c r="B28" s="108"/>
      <c r="C28" s="402"/>
      <c r="D28" s="402"/>
      <c r="E28" s="402"/>
      <c r="F28" s="402"/>
      <c r="G28" s="402"/>
      <c r="H28" s="402"/>
      <c r="I28" s="402"/>
      <c r="J28" s="48"/>
      <c r="K28" s="403"/>
      <c r="L28" s="404"/>
      <c r="M28" s="14"/>
      <c r="N28" s="175"/>
      <c r="O28" s="230"/>
      <c r="P28" s="55"/>
      <c r="Q28" s="55"/>
      <c r="R28" s="164"/>
      <c r="S28" s="231"/>
      <c r="T28" s="174"/>
    </row>
    <row r="29" spans="1:22" ht="24.95" customHeight="1">
      <c r="A29" s="4"/>
      <c r="B29" s="108"/>
      <c r="C29" s="402"/>
      <c r="D29" s="402"/>
      <c r="E29" s="402"/>
      <c r="F29" s="402"/>
      <c r="G29" s="402"/>
      <c r="H29" s="402"/>
      <c r="I29" s="402"/>
      <c r="J29" s="16"/>
      <c r="K29" s="409"/>
      <c r="L29" s="410"/>
      <c r="M29" s="14"/>
      <c r="N29" s="173"/>
      <c r="O29" s="162"/>
      <c r="P29" s="171"/>
      <c r="R29" s="164"/>
      <c r="S29" s="231"/>
      <c r="T29" s="174"/>
    </row>
    <row r="30" spans="1:22" ht="24.95" customHeight="1">
      <c r="A30" s="4"/>
      <c r="B30" s="107"/>
      <c r="C30" s="402"/>
      <c r="D30" s="402"/>
      <c r="E30" s="402"/>
      <c r="F30" s="402"/>
      <c r="G30" s="402"/>
      <c r="H30" s="402"/>
      <c r="I30" s="402"/>
      <c r="J30" s="48"/>
      <c r="K30" s="403"/>
      <c r="L30" s="404"/>
      <c r="M30" s="14"/>
      <c r="N30" s="173"/>
      <c r="P30" s="171"/>
      <c r="R30" s="164"/>
      <c r="S30" s="231"/>
      <c r="T30" s="174"/>
    </row>
    <row r="31" spans="1:22" ht="24.95" customHeight="1">
      <c r="A31" s="4"/>
      <c r="B31" s="107"/>
      <c r="C31" s="402"/>
      <c r="D31" s="402"/>
      <c r="E31" s="402"/>
      <c r="F31" s="402"/>
      <c r="G31" s="402"/>
      <c r="H31" s="402"/>
      <c r="I31" s="402"/>
      <c r="J31" s="48"/>
      <c r="K31" s="403"/>
      <c r="L31" s="404"/>
      <c r="M31" s="14"/>
      <c r="N31" s="173"/>
      <c r="P31" s="171"/>
      <c r="R31" s="164"/>
      <c r="S31" s="231"/>
      <c r="T31" s="174"/>
    </row>
    <row r="32" spans="1:22" ht="24.95" customHeight="1">
      <c r="A32" s="4"/>
      <c r="B32" s="107"/>
      <c r="C32" s="402"/>
      <c r="D32" s="402"/>
      <c r="E32" s="402"/>
      <c r="F32" s="402"/>
      <c r="G32" s="402"/>
      <c r="H32" s="402"/>
      <c r="I32" s="402"/>
      <c r="J32" s="48"/>
      <c r="K32" s="403"/>
      <c r="L32" s="404"/>
      <c r="M32" s="14"/>
      <c r="N32" s="173"/>
      <c r="R32" s="164"/>
      <c r="S32" s="231"/>
      <c r="T32" s="174"/>
    </row>
    <row r="33" spans="1:20" ht="24.95" customHeight="1">
      <c r="A33" s="4"/>
      <c r="B33" s="107"/>
      <c r="C33" s="402"/>
      <c r="D33" s="402"/>
      <c r="E33" s="402"/>
      <c r="F33" s="402"/>
      <c r="G33" s="402"/>
      <c r="H33" s="402"/>
      <c r="I33" s="402"/>
      <c r="J33" s="48"/>
      <c r="K33" s="403"/>
      <c r="L33" s="404"/>
      <c r="M33" s="14"/>
      <c r="N33" s="173"/>
      <c r="R33" s="164"/>
      <c r="S33" s="231"/>
      <c r="T33" s="174"/>
    </row>
    <row r="34" spans="1:20" ht="24.95" customHeight="1">
      <c r="A34" s="4"/>
      <c r="B34" s="107"/>
      <c r="C34" s="402"/>
      <c r="D34" s="402"/>
      <c r="E34" s="402"/>
      <c r="F34" s="402"/>
      <c r="G34" s="402"/>
      <c r="H34" s="402"/>
      <c r="I34" s="402"/>
      <c r="J34" s="48"/>
      <c r="K34" s="403"/>
      <c r="L34" s="404"/>
      <c r="M34" s="14"/>
      <c r="N34" s="173"/>
      <c r="R34" s="164"/>
      <c r="S34" s="231"/>
      <c r="T34" s="174"/>
    </row>
    <row r="35" spans="1:20" ht="24.95" customHeight="1">
      <c r="A35" s="4"/>
      <c r="B35" s="107"/>
      <c r="C35" s="402"/>
      <c r="D35" s="402"/>
      <c r="E35" s="402"/>
      <c r="F35" s="402"/>
      <c r="G35" s="402"/>
      <c r="H35" s="402"/>
      <c r="I35" s="402"/>
      <c r="J35" s="48"/>
      <c r="K35" s="403"/>
      <c r="L35" s="404"/>
      <c r="M35" s="14"/>
      <c r="N35" s="173"/>
      <c r="R35" s="164"/>
      <c r="S35" s="231"/>
      <c r="T35" s="174"/>
    </row>
    <row r="36" spans="1:20" ht="24.95" customHeight="1">
      <c r="A36" s="4"/>
      <c r="B36" s="107"/>
      <c r="C36" s="402"/>
      <c r="D36" s="402"/>
      <c r="E36" s="402"/>
      <c r="F36" s="402"/>
      <c r="G36" s="402"/>
      <c r="H36" s="402"/>
      <c r="I36" s="402"/>
      <c r="J36" s="48"/>
      <c r="K36" s="403"/>
      <c r="L36" s="404"/>
      <c r="M36" s="14"/>
      <c r="N36" s="173"/>
      <c r="R36" s="164"/>
      <c r="S36" s="231"/>
      <c r="T36" s="174"/>
    </row>
    <row r="37" spans="1:20" ht="24.95" customHeight="1">
      <c r="A37" s="4"/>
      <c r="B37" s="107"/>
      <c r="C37" s="402"/>
      <c r="D37" s="402"/>
      <c r="E37" s="402"/>
      <c r="F37" s="402"/>
      <c r="G37" s="402"/>
      <c r="H37" s="402"/>
      <c r="I37" s="402"/>
      <c r="J37" s="48"/>
      <c r="K37" s="403"/>
      <c r="L37" s="404"/>
      <c r="M37" s="14"/>
      <c r="N37" s="173"/>
      <c r="R37" s="164"/>
      <c r="S37" s="231"/>
      <c r="T37" s="174"/>
    </row>
    <row r="38" spans="1:20" ht="24.95" customHeight="1">
      <c r="A38" s="4"/>
      <c r="B38" s="107"/>
      <c r="C38" s="402"/>
      <c r="D38" s="402"/>
      <c r="E38" s="402"/>
      <c r="F38" s="402"/>
      <c r="G38" s="402"/>
      <c r="H38" s="402"/>
      <c r="I38" s="402"/>
      <c r="J38" s="48"/>
      <c r="K38" s="403"/>
      <c r="L38" s="404"/>
      <c r="M38" s="14"/>
      <c r="N38" s="173"/>
      <c r="R38" s="164"/>
      <c r="S38" s="231"/>
      <c r="T38" s="174"/>
    </row>
    <row r="39" spans="1:20" ht="24.95" customHeight="1">
      <c r="A39" s="4"/>
      <c r="B39" s="107"/>
      <c r="C39" s="402"/>
      <c r="D39" s="402"/>
      <c r="E39" s="402"/>
      <c r="F39" s="402"/>
      <c r="G39" s="402"/>
      <c r="H39" s="402"/>
      <c r="I39" s="402"/>
      <c r="J39" s="48"/>
      <c r="K39" s="403"/>
      <c r="L39" s="404"/>
      <c r="M39" s="14"/>
      <c r="N39" s="173"/>
      <c r="O39" s="230"/>
      <c r="P39" s="55"/>
      <c r="Q39" s="55"/>
      <c r="R39" s="164"/>
      <c r="S39" s="231"/>
      <c r="T39" s="174"/>
    </row>
    <row r="40" spans="1:20" ht="24.95" customHeight="1">
      <c r="A40" s="13"/>
      <c r="B40" s="201"/>
      <c r="C40" s="253"/>
      <c r="D40" s="254"/>
      <c r="E40" s="254"/>
      <c r="F40" s="254"/>
      <c r="G40" s="254"/>
      <c r="H40" s="254"/>
      <c r="I40" s="255"/>
      <c r="J40" s="106"/>
      <c r="K40" s="405"/>
      <c r="L40" s="406"/>
      <c r="M40" s="13"/>
      <c r="N40" s="175"/>
      <c r="O40" s="230"/>
      <c r="P40" s="55"/>
      <c r="Q40" s="55"/>
      <c r="R40" s="164"/>
      <c r="S40" s="231"/>
      <c r="T40" s="174"/>
    </row>
    <row r="41" spans="1:20" s="172" customFormat="1">
      <c r="A41" s="5"/>
      <c r="B41" s="5"/>
      <c r="C41" s="5"/>
      <c r="D41" s="5"/>
      <c r="E41" s="5"/>
      <c r="F41" s="5"/>
      <c r="G41" s="5"/>
      <c r="H41" s="5"/>
      <c r="I41" s="5"/>
      <c r="J41" s="78"/>
      <c r="K41" s="5"/>
      <c r="L41" s="5"/>
      <c r="M41" s="5"/>
      <c r="O41" s="55"/>
      <c r="P41" s="55"/>
      <c r="Q41" s="55"/>
      <c r="R41" s="56"/>
      <c r="S41" s="166"/>
    </row>
    <row r="42" spans="1:20" s="172" customFormat="1">
      <c r="A42" s="5"/>
      <c r="B42" s="5"/>
      <c r="C42" s="5"/>
      <c r="D42" s="5"/>
      <c r="E42" s="5"/>
      <c r="F42" s="5"/>
      <c r="G42" s="5"/>
      <c r="H42" s="5"/>
      <c r="I42" s="5"/>
      <c r="J42" s="78"/>
      <c r="K42" s="5"/>
      <c r="L42" s="5"/>
      <c r="M42" s="5"/>
      <c r="O42" s="55"/>
      <c r="P42" s="55"/>
      <c r="Q42" s="55"/>
      <c r="R42" s="56"/>
      <c r="S42" s="166"/>
    </row>
    <row r="43" spans="1:20" s="172" customFormat="1">
      <c r="A43" s="5"/>
      <c r="B43" s="5"/>
      <c r="C43" s="5"/>
      <c r="D43" s="5"/>
      <c r="E43" s="5"/>
      <c r="F43" s="5"/>
      <c r="G43" s="5"/>
      <c r="H43" s="5"/>
      <c r="I43" s="5"/>
      <c r="J43" s="78"/>
      <c r="K43" s="5"/>
      <c r="L43" s="5"/>
      <c r="M43" s="5"/>
      <c r="O43" s="55"/>
      <c r="P43" s="55"/>
      <c r="Q43" s="55"/>
      <c r="R43" s="56"/>
      <c r="S43" s="166"/>
    </row>
    <row r="44" spans="1:20" s="172" customFormat="1">
      <c r="A44" s="5"/>
      <c r="B44" s="5"/>
      <c r="C44" s="5"/>
      <c r="D44" s="5"/>
      <c r="E44" s="5"/>
      <c r="F44" s="5"/>
      <c r="G44" s="5"/>
      <c r="H44" s="5"/>
      <c r="I44" s="5"/>
      <c r="J44" s="78"/>
      <c r="K44" s="5"/>
      <c r="L44" s="5"/>
      <c r="M44" s="5"/>
      <c r="O44" s="55"/>
      <c r="P44" s="55"/>
      <c r="Q44" s="55"/>
      <c r="R44" s="56"/>
      <c r="S44" s="166"/>
    </row>
    <row r="45" spans="1:20" s="172" customFormat="1">
      <c r="A45" s="5"/>
      <c r="B45" s="5"/>
      <c r="C45" s="5"/>
      <c r="D45" s="5"/>
      <c r="E45" s="5"/>
      <c r="F45" s="5"/>
      <c r="G45" s="5"/>
      <c r="H45" s="5"/>
      <c r="I45" s="5"/>
      <c r="J45" s="78"/>
      <c r="K45" s="5"/>
      <c r="L45" s="5"/>
      <c r="M45" s="5"/>
      <c r="O45" s="55"/>
      <c r="P45" s="55"/>
      <c r="Q45" s="55"/>
      <c r="R45" s="56"/>
      <c r="S45" s="166"/>
    </row>
    <row r="46" spans="1:20" s="172" customFormat="1">
      <c r="A46" s="5"/>
      <c r="B46" s="5"/>
      <c r="C46" s="5"/>
      <c r="D46" s="5"/>
      <c r="E46" s="5"/>
      <c r="F46" s="5"/>
      <c r="G46" s="5"/>
      <c r="H46" s="5"/>
      <c r="I46" s="5"/>
      <c r="J46" s="78"/>
      <c r="K46" s="5"/>
      <c r="L46" s="5"/>
      <c r="M46" s="5"/>
      <c r="O46" s="55"/>
      <c r="P46" s="55"/>
      <c r="Q46" s="55"/>
      <c r="R46" s="56"/>
      <c r="S46" s="166"/>
    </row>
    <row r="47" spans="1:20" s="172" customFormat="1">
      <c r="A47" s="5"/>
      <c r="B47" s="5"/>
      <c r="C47" s="5"/>
      <c r="D47" s="5"/>
      <c r="E47" s="5"/>
      <c r="F47" s="5"/>
      <c r="G47" s="5"/>
      <c r="H47" s="5"/>
      <c r="I47" s="5"/>
      <c r="J47" s="78"/>
      <c r="K47" s="5"/>
      <c r="L47" s="5"/>
      <c r="M47" s="5"/>
      <c r="O47" s="55"/>
      <c r="P47" s="55"/>
      <c r="Q47" s="55"/>
      <c r="R47" s="56"/>
      <c r="S47" s="166"/>
    </row>
    <row r="48" spans="1:20" s="172" customFormat="1">
      <c r="A48" s="5"/>
      <c r="B48" s="5"/>
      <c r="C48" s="5"/>
      <c r="D48" s="5"/>
      <c r="E48" s="5"/>
      <c r="F48" s="5"/>
      <c r="G48" s="5"/>
      <c r="H48" s="5"/>
      <c r="I48" s="5"/>
      <c r="J48" s="78"/>
      <c r="K48" s="5"/>
      <c r="L48" s="5"/>
      <c r="M48" s="5"/>
      <c r="O48" s="55"/>
      <c r="P48" s="55"/>
      <c r="Q48" s="55"/>
      <c r="R48" s="56"/>
      <c r="S48" s="166"/>
    </row>
    <row r="49" spans="1:19" s="172" customFormat="1">
      <c r="A49" s="5"/>
      <c r="B49" s="5"/>
      <c r="C49" s="5"/>
      <c r="D49" s="5"/>
      <c r="E49" s="5"/>
      <c r="F49" s="5"/>
      <c r="G49" s="5"/>
      <c r="H49" s="5"/>
      <c r="I49" s="5"/>
      <c r="J49" s="78"/>
      <c r="K49" s="5"/>
      <c r="L49" s="5"/>
      <c r="M49" s="5"/>
      <c r="O49" s="55"/>
      <c r="P49" s="55"/>
      <c r="Q49" s="55"/>
      <c r="R49" s="56"/>
      <c r="S49" s="166"/>
    </row>
    <row r="50" spans="1:19" s="172" customFormat="1">
      <c r="A50" s="5"/>
      <c r="B50" s="5"/>
      <c r="C50" s="5"/>
      <c r="D50" s="5"/>
      <c r="E50" s="5"/>
      <c r="F50" s="5"/>
      <c r="G50" s="5"/>
      <c r="H50" s="5"/>
      <c r="I50" s="5"/>
      <c r="J50" s="78"/>
      <c r="K50" s="5"/>
      <c r="L50" s="5"/>
      <c r="M50" s="5"/>
      <c r="O50" s="55"/>
      <c r="P50" s="55"/>
      <c r="Q50" s="55"/>
      <c r="R50" s="56"/>
      <c r="S50" s="166"/>
    </row>
    <row r="51" spans="1:19" s="172" customFormat="1">
      <c r="A51" s="5"/>
      <c r="B51" s="5"/>
      <c r="C51" s="5"/>
      <c r="D51" s="5"/>
      <c r="E51" s="5"/>
      <c r="F51" s="5"/>
      <c r="G51" s="5"/>
      <c r="H51" s="5"/>
      <c r="I51" s="5"/>
      <c r="J51" s="78"/>
      <c r="K51" s="5"/>
      <c r="L51" s="5"/>
      <c r="M51" s="5"/>
      <c r="O51" s="55"/>
      <c r="P51" s="55"/>
      <c r="Q51" s="55"/>
      <c r="R51" s="56"/>
      <c r="S51" s="166"/>
    </row>
    <row r="52" spans="1:19" s="172" customFormat="1">
      <c r="A52" s="5"/>
      <c r="B52" s="5"/>
      <c r="C52" s="5"/>
      <c r="D52" s="5"/>
      <c r="E52" s="5"/>
      <c r="F52" s="5"/>
      <c r="G52" s="5"/>
      <c r="H52" s="5"/>
      <c r="I52" s="5"/>
      <c r="J52" s="78"/>
      <c r="K52" s="5"/>
      <c r="L52" s="5"/>
      <c r="M52" s="5"/>
      <c r="O52" s="55"/>
      <c r="P52" s="55"/>
      <c r="Q52" s="55"/>
      <c r="R52" s="56"/>
      <c r="S52" s="166"/>
    </row>
    <row r="53" spans="1:19" s="172" customFormat="1">
      <c r="A53" s="5"/>
      <c r="B53" s="5"/>
      <c r="C53" s="5"/>
      <c r="D53" s="5"/>
      <c r="E53" s="5"/>
      <c r="F53" s="5"/>
      <c r="G53" s="5"/>
      <c r="H53" s="5"/>
      <c r="I53" s="5"/>
      <c r="J53" s="78"/>
      <c r="K53" s="5"/>
      <c r="L53" s="5"/>
      <c r="M53" s="5"/>
      <c r="O53" s="55"/>
      <c r="P53" s="55"/>
      <c r="Q53" s="55"/>
      <c r="R53" s="56"/>
      <c r="S53" s="166"/>
    </row>
    <row r="54" spans="1:19" s="172" customFormat="1">
      <c r="A54" s="5"/>
      <c r="B54" s="5"/>
      <c r="C54" s="5"/>
      <c r="D54" s="5"/>
      <c r="E54" s="5"/>
      <c r="F54" s="5"/>
      <c r="G54" s="5"/>
      <c r="H54" s="5"/>
      <c r="I54" s="5"/>
      <c r="J54" s="78"/>
      <c r="K54" s="5"/>
      <c r="L54" s="5"/>
      <c r="M54" s="5"/>
      <c r="O54" s="55"/>
      <c r="P54" s="55"/>
      <c r="Q54" s="55"/>
      <c r="R54" s="56"/>
      <c r="S54" s="166"/>
    </row>
    <row r="55" spans="1:19" s="172" customFormat="1">
      <c r="A55" s="5"/>
      <c r="B55" s="5"/>
      <c r="C55" s="5"/>
      <c r="D55" s="5"/>
      <c r="E55" s="5"/>
      <c r="F55" s="5"/>
      <c r="G55" s="5"/>
      <c r="H55" s="5"/>
      <c r="I55" s="5"/>
      <c r="J55" s="78"/>
      <c r="K55" s="5"/>
      <c r="L55" s="5"/>
      <c r="M55" s="5"/>
      <c r="O55" s="55"/>
      <c r="P55" s="55"/>
      <c r="Q55" s="55"/>
      <c r="R55" s="56"/>
      <c r="S55" s="166"/>
    </row>
    <row r="56" spans="1:19" s="172" customFormat="1">
      <c r="A56" s="5"/>
      <c r="B56" s="5"/>
      <c r="C56" s="5"/>
      <c r="D56" s="5"/>
      <c r="E56" s="5"/>
      <c r="F56" s="5"/>
      <c r="G56" s="5"/>
      <c r="H56" s="5"/>
      <c r="I56" s="5"/>
      <c r="J56" s="78"/>
      <c r="K56" s="5"/>
      <c r="L56" s="5"/>
      <c r="M56" s="5"/>
      <c r="O56" s="55"/>
      <c r="P56" s="55"/>
      <c r="Q56" s="55"/>
      <c r="R56" s="56"/>
      <c r="S56" s="166"/>
    </row>
    <row r="57" spans="1:19" s="172" customFormat="1">
      <c r="A57" s="5"/>
      <c r="B57" s="5"/>
      <c r="C57" s="5"/>
      <c r="D57" s="5"/>
      <c r="E57" s="5"/>
      <c r="F57" s="5"/>
      <c r="G57" s="5"/>
      <c r="H57" s="5"/>
      <c r="I57" s="5"/>
      <c r="J57" s="78"/>
      <c r="K57" s="5"/>
      <c r="L57" s="5"/>
      <c r="M57" s="5"/>
      <c r="O57" s="55"/>
      <c r="P57" s="55"/>
      <c r="Q57" s="55"/>
      <c r="R57" s="56"/>
      <c r="S57" s="166"/>
    </row>
    <row r="58" spans="1:19" s="172" customFormat="1">
      <c r="A58" s="5"/>
      <c r="B58" s="5"/>
      <c r="C58" s="5"/>
      <c r="D58" s="5"/>
      <c r="E58" s="5"/>
      <c r="F58" s="5"/>
      <c r="G58" s="5"/>
      <c r="H58" s="5"/>
      <c r="I58" s="5"/>
      <c r="J58" s="78"/>
      <c r="K58" s="5"/>
      <c r="L58" s="5"/>
      <c r="M58" s="5"/>
      <c r="O58" s="55"/>
      <c r="P58" s="55"/>
      <c r="Q58" s="55"/>
      <c r="R58" s="56"/>
      <c r="S58" s="166"/>
    </row>
    <row r="59" spans="1:19" s="172" customFormat="1">
      <c r="A59" s="5"/>
      <c r="B59" s="5"/>
      <c r="C59" s="5"/>
      <c r="D59" s="5"/>
      <c r="E59" s="5"/>
      <c r="F59" s="5"/>
      <c r="G59" s="5"/>
      <c r="H59" s="5"/>
      <c r="I59" s="5"/>
      <c r="J59" s="78"/>
      <c r="K59" s="5"/>
      <c r="L59" s="5"/>
      <c r="M59" s="5"/>
      <c r="O59" s="55"/>
      <c r="P59" s="55"/>
      <c r="Q59" s="55"/>
      <c r="R59" s="56"/>
      <c r="S59" s="166"/>
    </row>
    <row r="60" spans="1:19" s="172" customFormat="1">
      <c r="A60" s="5"/>
      <c r="B60" s="5"/>
      <c r="C60" s="5"/>
      <c r="D60" s="5"/>
      <c r="E60" s="5"/>
      <c r="F60" s="5"/>
      <c r="G60" s="5"/>
      <c r="H60" s="5"/>
      <c r="I60" s="5"/>
      <c r="J60" s="78"/>
      <c r="K60" s="5"/>
      <c r="L60" s="5"/>
      <c r="M60" s="5"/>
      <c r="O60" s="55"/>
      <c r="P60" s="55"/>
      <c r="Q60" s="55"/>
      <c r="R60" s="56"/>
      <c r="S60" s="166"/>
    </row>
    <row r="61" spans="1:19" s="172" customFormat="1">
      <c r="A61" s="5"/>
      <c r="B61" s="5"/>
      <c r="C61" s="5"/>
      <c r="D61" s="5"/>
      <c r="E61" s="5"/>
      <c r="F61" s="5"/>
      <c r="G61" s="5"/>
      <c r="H61" s="5"/>
      <c r="I61" s="5"/>
      <c r="J61" s="78"/>
      <c r="K61" s="5"/>
      <c r="L61" s="5"/>
      <c r="M61" s="5"/>
      <c r="O61" s="55"/>
      <c r="P61" s="55"/>
      <c r="Q61" s="55"/>
      <c r="R61" s="56"/>
      <c r="S61" s="166"/>
    </row>
    <row r="62" spans="1:19" s="172" customFormat="1">
      <c r="A62" s="5"/>
      <c r="B62" s="5"/>
      <c r="C62" s="5"/>
      <c r="D62" s="5"/>
      <c r="E62" s="5"/>
      <c r="F62" s="5"/>
      <c r="G62" s="5"/>
      <c r="H62" s="5"/>
      <c r="I62" s="5"/>
      <c r="J62" s="78"/>
      <c r="K62" s="5"/>
      <c r="L62" s="5"/>
      <c r="M62" s="5"/>
      <c r="O62" s="55"/>
      <c r="P62" s="55"/>
      <c r="Q62" s="55"/>
      <c r="R62" s="56"/>
      <c r="S62" s="166"/>
    </row>
    <row r="63" spans="1:19" s="172" customFormat="1">
      <c r="A63" s="5"/>
      <c r="B63" s="5"/>
      <c r="C63" s="5"/>
      <c r="D63" s="5"/>
      <c r="E63" s="5"/>
      <c r="F63" s="5"/>
      <c r="G63" s="5"/>
      <c r="H63" s="5"/>
      <c r="I63" s="5"/>
      <c r="J63" s="78"/>
      <c r="K63" s="5"/>
      <c r="L63" s="5"/>
      <c r="M63" s="5"/>
      <c r="O63" s="55"/>
      <c r="P63" s="55"/>
      <c r="Q63" s="55"/>
      <c r="R63" s="56"/>
      <c r="S63" s="166"/>
    </row>
    <row r="64" spans="1:19" s="172" customFormat="1">
      <c r="A64" s="5"/>
      <c r="B64" s="5"/>
      <c r="C64" s="5"/>
      <c r="D64" s="5"/>
      <c r="E64" s="5"/>
      <c r="F64" s="5"/>
      <c r="G64" s="5"/>
      <c r="H64" s="5"/>
      <c r="I64" s="5"/>
      <c r="J64" s="78"/>
      <c r="K64" s="5"/>
      <c r="L64" s="5"/>
      <c r="M64" s="5"/>
      <c r="O64" s="55"/>
      <c r="P64" s="55"/>
      <c r="Q64" s="55"/>
      <c r="R64" s="56"/>
      <c r="S64" s="166"/>
    </row>
    <row r="65" spans="1:19" s="172" customFormat="1">
      <c r="A65" s="5"/>
      <c r="B65" s="5"/>
      <c r="C65" s="5"/>
      <c r="D65" s="5"/>
      <c r="E65" s="5"/>
      <c r="F65" s="5"/>
      <c r="G65" s="5"/>
      <c r="H65" s="5"/>
      <c r="I65" s="5"/>
      <c r="J65" s="78"/>
      <c r="K65" s="5"/>
      <c r="L65" s="5"/>
      <c r="M65" s="5"/>
      <c r="O65" s="55"/>
      <c r="P65" s="55"/>
      <c r="Q65" s="55"/>
      <c r="R65" s="56"/>
      <c r="S65" s="166"/>
    </row>
    <row r="66" spans="1:19" s="172" customFormat="1">
      <c r="A66" s="5"/>
      <c r="B66" s="5"/>
      <c r="C66" s="5"/>
      <c r="D66" s="5"/>
      <c r="E66" s="5"/>
      <c r="F66" s="5"/>
      <c r="G66" s="5"/>
      <c r="H66" s="5"/>
      <c r="I66" s="5"/>
      <c r="J66" s="78"/>
      <c r="K66" s="5"/>
      <c r="L66" s="5"/>
      <c r="M66" s="5"/>
      <c r="O66" s="55"/>
      <c r="P66" s="55"/>
      <c r="Q66" s="55"/>
      <c r="R66" s="56"/>
      <c r="S66" s="166"/>
    </row>
    <row r="67" spans="1:19" s="172" customFormat="1">
      <c r="A67" s="5"/>
      <c r="B67" s="5"/>
      <c r="C67" s="5"/>
      <c r="D67" s="5"/>
      <c r="E67" s="5"/>
      <c r="F67" s="5"/>
      <c r="G67" s="5"/>
      <c r="H67" s="5"/>
      <c r="I67" s="5"/>
      <c r="J67" s="78"/>
      <c r="K67" s="5"/>
      <c r="L67" s="5"/>
      <c r="M67" s="5"/>
      <c r="O67" s="55"/>
      <c r="P67" s="55"/>
      <c r="Q67" s="55"/>
      <c r="R67" s="56"/>
      <c r="S67" s="166"/>
    </row>
    <row r="68" spans="1:19" s="172" customFormat="1">
      <c r="A68" s="5"/>
      <c r="B68" s="5"/>
      <c r="C68" s="5"/>
      <c r="D68" s="5"/>
      <c r="E68" s="5"/>
      <c r="F68" s="5"/>
      <c r="G68" s="5"/>
      <c r="H68" s="5"/>
      <c r="I68" s="5"/>
      <c r="J68" s="78"/>
      <c r="K68" s="5"/>
      <c r="L68" s="5"/>
      <c r="M68" s="5"/>
      <c r="O68" s="55"/>
      <c r="P68" s="55"/>
      <c r="Q68" s="55"/>
      <c r="R68" s="56"/>
      <c r="S68" s="166"/>
    </row>
    <row r="69" spans="1:19" s="172" customFormat="1">
      <c r="A69" s="5"/>
      <c r="B69" s="5"/>
      <c r="C69" s="5"/>
      <c r="D69" s="5"/>
      <c r="E69" s="5"/>
      <c r="F69" s="5"/>
      <c r="G69" s="5"/>
      <c r="H69" s="5"/>
      <c r="I69" s="5"/>
      <c r="J69" s="78"/>
      <c r="K69" s="5"/>
      <c r="L69" s="5"/>
      <c r="M69" s="5"/>
      <c r="O69" s="55"/>
      <c r="P69" s="55"/>
      <c r="Q69" s="55"/>
      <c r="R69" s="56"/>
      <c r="S69" s="166"/>
    </row>
    <row r="70" spans="1:19" s="172" customFormat="1">
      <c r="A70" s="5"/>
      <c r="B70" s="5"/>
      <c r="C70" s="5"/>
      <c r="D70" s="5"/>
      <c r="E70" s="5"/>
      <c r="F70" s="5"/>
      <c r="G70" s="5"/>
      <c r="H70" s="5"/>
      <c r="I70" s="5"/>
      <c r="J70" s="78"/>
      <c r="K70" s="5"/>
      <c r="L70" s="5"/>
      <c r="M70" s="5"/>
      <c r="O70" s="55"/>
      <c r="P70" s="55"/>
      <c r="Q70" s="55"/>
      <c r="R70" s="56"/>
      <c r="S70" s="166"/>
    </row>
    <row r="71" spans="1:19" s="172" customFormat="1">
      <c r="A71" s="5"/>
      <c r="B71" s="5"/>
      <c r="C71" s="5"/>
      <c r="D71" s="5"/>
      <c r="E71" s="5"/>
      <c r="F71" s="5"/>
      <c r="G71" s="5"/>
      <c r="H71" s="5"/>
      <c r="I71" s="5"/>
      <c r="J71" s="78"/>
      <c r="K71" s="5"/>
      <c r="L71" s="5"/>
      <c r="M71" s="5"/>
      <c r="O71" s="55"/>
      <c r="P71" s="55"/>
      <c r="Q71" s="55"/>
      <c r="R71" s="56"/>
      <c r="S71" s="166"/>
    </row>
    <row r="72" spans="1:19" s="172" customFormat="1">
      <c r="A72" s="5"/>
      <c r="B72" s="5"/>
      <c r="C72" s="5"/>
      <c r="D72" s="5"/>
      <c r="E72" s="5"/>
      <c r="F72" s="5"/>
      <c r="G72" s="5"/>
      <c r="H72" s="5"/>
      <c r="I72" s="5"/>
      <c r="J72" s="78"/>
      <c r="K72" s="5"/>
      <c r="L72" s="5"/>
      <c r="M72" s="5"/>
      <c r="O72" s="55"/>
      <c r="P72" s="55"/>
      <c r="Q72" s="55"/>
      <c r="R72" s="56"/>
      <c r="S72" s="166"/>
    </row>
    <row r="73" spans="1:19" s="172" customFormat="1">
      <c r="A73" s="5"/>
      <c r="B73" s="5"/>
      <c r="C73" s="5"/>
      <c r="D73" s="5"/>
      <c r="E73" s="5"/>
      <c r="F73" s="5"/>
      <c r="G73" s="5"/>
      <c r="H73" s="5"/>
      <c r="I73" s="5"/>
      <c r="J73" s="78"/>
      <c r="K73" s="5"/>
      <c r="L73" s="5"/>
      <c r="M73" s="5"/>
      <c r="O73" s="55"/>
      <c r="P73" s="55"/>
      <c r="Q73" s="55"/>
      <c r="R73" s="56"/>
      <c r="S73" s="166"/>
    </row>
    <row r="74" spans="1:19" s="172" customFormat="1">
      <c r="A74" s="5"/>
      <c r="B74" s="5"/>
      <c r="C74" s="5"/>
      <c r="D74" s="5"/>
      <c r="E74" s="5"/>
      <c r="F74" s="5"/>
      <c r="G74" s="5"/>
      <c r="H74" s="5"/>
      <c r="I74" s="5"/>
      <c r="J74" s="78"/>
      <c r="K74" s="5"/>
      <c r="L74" s="5"/>
      <c r="M74" s="5"/>
      <c r="O74" s="55"/>
      <c r="P74" s="55"/>
      <c r="Q74" s="55"/>
      <c r="R74" s="56"/>
      <c r="S74" s="166"/>
    </row>
    <row r="75" spans="1:19" s="172" customFormat="1">
      <c r="A75" s="5"/>
      <c r="B75" s="5"/>
      <c r="C75" s="5"/>
      <c r="D75" s="5"/>
      <c r="E75" s="5"/>
      <c r="F75" s="5"/>
      <c r="G75" s="5"/>
      <c r="H75" s="5"/>
      <c r="I75" s="5"/>
      <c r="J75" s="78"/>
      <c r="K75" s="5"/>
      <c r="L75" s="5"/>
      <c r="M75" s="5"/>
      <c r="O75" s="55"/>
      <c r="P75" s="55"/>
      <c r="Q75" s="55"/>
      <c r="R75" s="56"/>
      <c r="S75" s="166"/>
    </row>
    <row r="76" spans="1:19" s="172" customFormat="1">
      <c r="A76" s="5"/>
      <c r="B76" s="5"/>
      <c r="C76" s="5"/>
      <c r="D76" s="5"/>
      <c r="E76" s="5"/>
      <c r="F76" s="5"/>
      <c r="G76" s="5"/>
      <c r="H76" s="5"/>
      <c r="I76" s="5"/>
      <c r="J76" s="78"/>
      <c r="K76" s="5"/>
      <c r="L76" s="5"/>
      <c r="M76" s="5"/>
      <c r="O76" s="55"/>
      <c r="P76" s="55"/>
      <c r="Q76" s="55"/>
      <c r="R76" s="56"/>
      <c r="S76" s="166"/>
    </row>
  </sheetData>
  <mergeCells count="73">
    <mergeCell ref="G2:I2"/>
    <mergeCell ref="G3:I3"/>
    <mergeCell ref="B4:F5"/>
    <mergeCell ref="G4:I4"/>
    <mergeCell ref="J4:K4"/>
    <mergeCell ref="G5:I5"/>
    <mergeCell ref="J5:K5"/>
    <mergeCell ref="G6:I6"/>
    <mergeCell ref="C9:E9"/>
    <mergeCell ref="G9:I9"/>
    <mergeCell ref="J9:K9"/>
    <mergeCell ref="C10:E10"/>
    <mergeCell ref="G10:I10"/>
    <mergeCell ref="J10:L10"/>
    <mergeCell ref="C11:E11"/>
    <mergeCell ref="G11:I11"/>
    <mergeCell ref="J11:K11"/>
    <mergeCell ref="C12:E12"/>
    <mergeCell ref="G12:I12"/>
    <mergeCell ref="J12:K12"/>
    <mergeCell ref="C20:I20"/>
    <mergeCell ref="K20:L20"/>
    <mergeCell ref="C13:E13"/>
    <mergeCell ref="G13:I13"/>
    <mergeCell ref="J13:K13"/>
    <mergeCell ref="C14:E14"/>
    <mergeCell ref="G14:I14"/>
    <mergeCell ref="C15:I15"/>
    <mergeCell ref="K15:L15"/>
    <mergeCell ref="B17:L17"/>
    <mergeCell ref="C18:I18"/>
    <mergeCell ref="K18:L18"/>
    <mergeCell ref="C19:I19"/>
    <mergeCell ref="K19:L19"/>
    <mergeCell ref="C21:I21"/>
    <mergeCell ref="K21:L21"/>
    <mergeCell ref="C22:I22"/>
    <mergeCell ref="K22:L22"/>
    <mergeCell ref="C23:I23"/>
    <mergeCell ref="K23:L23"/>
    <mergeCell ref="C24:I24"/>
    <mergeCell ref="K24:L24"/>
    <mergeCell ref="C25:I25"/>
    <mergeCell ref="K25:L25"/>
    <mergeCell ref="C26:I26"/>
    <mergeCell ref="K26:L26"/>
    <mergeCell ref="C27:I27"/>
    <mergeCell ref="K27:L27"/>
    <mergeCell ref="C28:I28"/>
    <mergeCell ref="K28:L28"/>
    <mergeCell ref="C29:I29"/>
    <mergeCell ref="K29:L29"/>
    <mergeCell ref="C30:I30"/>
    <mergeCell ref="K30:L30"/>
    <mergeCell ref="C31:I31"/>
    <mergeCell ref="K31:L31"/>
    <mergeCell ref="C32:I32"/>
    <mergeCell ref="K32:L32"/>
    <mergeCell ref="C33:I33"/>
    <mergeCell ref="K33:L33"/>
    <mergeCell ref="C34:I34"/>
    <mergeCell ref="K34:L34"/>
    <mergeCell ref="C35:I35"/>
    <mergeCell ref="K35:L35"/>
    <mergeCell ref="C39:I39"/>
    <mergeCell ref="K39:L39"/>
    <mergeCell ref="K40:L40"/>
    <mergeCell ref="C36:I36"/>
    <mergeCell ref="K36:L36"/>
    <mergeCell ref="C37:I37"/>
    <mergeCell ref="K37:L37"/>
    <mergeCell ref="C38:I38"/>
    <mergeCell ref="K38:L38"/>
  </mergeCells>
  <dataValidations count="4">
    <dataValidation type="decimal" allowBlank="1" showErrorMessage="1" errorTitle="Precio unitario" error="Debe escribir un número en esta celda." promptTitle="Precio unitario" sqref="J40:K40 J30:J39 J18:J28" xr:uid="{00000000-0002-0000-0100-000000000000}">
      <formula1>0</formula1>
      <formula2>1000000000</formula2>
    </dataValidation>
    <dataValidation errorStyle="warning" allowBlank="1" showInputMessage="1" errorTitle="Estado" promptTitle="Estado" prompt="Escriba la abreviatura del estado en esta celda." sqref="E11" xr:uid="{00000000-0002-0000-0100-000001000000}"/>
    <dataValidation allowBlank="1" showInputMessage="1" showErrorMessage="1" promptTitle="Información de la organización" prompt="Para escribir varias líneas en una celda, use Alt+Entrar.  También puede personalizar esta plantilla y guardarla como una nueva para su uso posterior. Para más información sobre cómo crear plantillas personalizadas, vea los temas de ayuda." sqref="B1:I1" xr:uid="{00000000-0002-0000-0100-000002000000}"/>
    <dataValidation type="whole" errorStyle="warning" allowBlank="1" showErrorMessage="1" errorTitle="Cantidad" error="Debe escribir un número en esta celda." promptTitle="Cantidad" sqref="B18 B26" xr:uid="{00000000-0002-0000-0100-000003000000}">
      <formula1>0</formula1>
      <formula2>1000000000</formula2>
    </dataValidation>
  </dataValidations>
  <hyperlinks>
    <hyperlink ref="J4" r:id="rId1" xr:uid="{00000000-0004-0000-0100-000000000000}"/>
    <hyperlink ref="J5" r:id="rId2" xr:uid="{00000000-0004-0000-0100-000001000000}"/>
  </hyperlinks>
  <pageMargins left="0.23622047244094491" right="0.23622047244094491" top="0.74803149606299213" bottom="0.74803149606299213" header="0.31496062992125984" footer="0.31496062992125984"/>
  <pageSetup paperSize="9" orientation="portrait" r:id="rId3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B57"/>
  <sheetViews>
    <sheetView topLeftCell="A13" workbookViewId="0">
      <selection activeCell="C20" sqref="C20:I33"/>
    </sheetView>
  </sheetViews>
  <sheetFormatPr baseColWidth="10" defaultColWidth="2.7109375" defaultRowHeight="10.5"/>
  <cols>
    <col min="1" max="1" width="1.28515625" style="5" customWidth="1"/>
    <col min="2" max="2" width="15.85546875" style="5" customWidth="1"/>
    <col min="3" max="3" width="14.5703125" style="5" customWidth="1"/>
    <col min="4" max="4" width="9.140625" style="5" customWidth="1"/>
    <col min="5" max="5" width="8.42578125" style="5" customWidth="1"/>
    <col min="6" max="6" width="1.28515625" style="5" customWidth="1"/>
    <col min="7" max="7" width="8.28515625" style="5" customWidth="1"/>
    <col min="8" max="8" width="1.42578125" style="5" customWidth="1"/>
    <col min="9" max="9" width="4.28515625" style="5" customWidth="1"/>
    <col min="10" max="10" width="15.28515625" style="78" customWidth="1"/>
    <col min="11" max="11" width="16.7109375" style="5" customWidth="1"/>
    <col min="12" max="12" width="1.140625" style="5" customWidth="1"/>
    <col min="13" max="13" width="1.28515625" style="5" customWidth="1"/>
    <col min="14" max="14" width="20.5703125" style="172" customWidth="1"/>
    <col min="15" max="17" width="23.5703125" style="158" customWidth="1"/>
    <col min="18" max="18" width="21.42578125" style="163" customWidth="1"/>
    <col min="19" max="19" width="16" style="169" customWidth="1"/>
    <col min="20" max="20" width="19.7109375" style="5" customWidth="1"/>
    <col min="21" max="16384" width="2.7109375" style="5"/>
  </cols>
  <sheetData>
    <row r="1" spans="1:19" ht="12.75" thickBot="1">
      <c r="A1" s="19"/>
      <c r="B1" s="20"/>
      <c r="C1" s="20"/>
      <c r="D1" s="21"/>
      <c r="E1" s="21"/>
      <c r="F1" s="21"/>
      <c r="G1" s="21"/>
      <c r="H1" s="21"/>
      <c r="I1" s="21"/>
      <c r="J1" s="22"/>
      <c r="K1" s="23"/>
      <c r="L1" s="24"/>
      <c r="M1" s="120"/>
    </row>
    <row r="2" spans="1:19" ht="12">
      <c r="A2" s="4"/>
      <c r="B2" s="25"/>
      <c r="C2" s="26"/>
      <c r="D2" s="27"/>
      <c r="E2" s="27"/>
      <c r="F2" s="27"/>
      <c r="G2" s="349" t="s">
        <v>0</v>
      </c>
      <c r="H2" s="350"/>
      <c r="I2" s="350"/>
      <c r="J2" s="28" t="s">
        <v>1</v>
      </c>
      <c r="K2" s="29"/>
      <c r="L2" s="30"/>
      <c r="M2" s="121"/>
    </row>
    <row r="3" spans="1:19" ht="12">
      <c r="A3" s="4"/>
      <c r="B3" s="25"/>
      <c r="C3" s="31"/>
      <c r="D3" s="32"/>
      <c r="E3" s="32"/>
      <c r="F3" s="32"/>
      <c r="G3" s="351" t="s">
        <v>2</v>
      </c>
      <c r="H3" s="352"/>
      <c r="I3" s="352"/>
      <c r="J3" s="18" t="s">
        <v>3</v>
      </c>
      <c r="K3" s="18" t="s">
        <v>4</v>
      </c>
      <c r="L3" s="222"/>
      <c r="M3" s="235"/>
    </row>
    <row r="4" spans="1:19" ht="14.25" customHeight="1">
      <c r="A4" s="34"/>
      <c r="B4" s="398" t="s">
        <v>5</v>
      </c>
      <c r="C4" s="398"/>
      <c r="D4" s="398"/>
      <c r="E4" s="398"/>
      <c r="F4" s="399"/>
      <c r="G4" s="351" t="s">
        <v>6</v>
      </c>
      <c r="H4" s="352"/>
      <c r="I4" s="352"/>
      <c r="J4" s="359" t="s">
        <v>7</v>
      </c>
      <c r="K4" s="359"/>
      <c r="L4" s="14"/>
      <c r="M4" s="10"/>
    </row>
    <row r="5" spans="1:19" ht="12.75" thickBot="1">
      <c r="A5" s="4"/>
      <c r="B5" s="400"/>
      <c r="C5" s="400"/>
      <c r="D5" s="400"/>
      <c r="E5" s="400"/>
      <c r="F5" s="401"/>
      <c r="G5" s="351" t="s">
        <v>8</v>
      </c>
      <c r="H5" s="352"/>
      <c r="I5" s="352"/>
      <c r="J5" s="359" t="s">
        <v>9</v>
      </c>
      <c r="K5" s="359"/>
      <c r="L5" s="14"/>
      <c r="M5" s="10"/>
    </row>
    <row r="6" spans="1:19" ht="12.75" thickBot="1">
      <c r="A6" s="4"/>
      <c r="B6" s="35"/>
      <c r="C6" s="35"/>
      <c r="D6" s="35"/>
      <c r="E6" s="35"/>
      <c r="F6" s="35"/>
      <c r="G6" s="361"/>
      <c r="H6" s="361"/>
      <c r="I6" s="361"/>
      <c r="J6" s="36"/>
      <c r="K6" s="35"/>
      <c r="L6" s="14"/>
      <c r="M6" s="10"/>
    </row>
    <row r="7" spans="1:19" ht="12.75" thickBot="1">
      <c r="A7" s="4"/>
      <c r="B7" s="37" t="s">
        <v>10</v>
      </c>
      <c r="C7" s="38"/>
      <c r="D7" s="39"/>
      <c r="E7" s="39"/>
      <c r="F7" s="40"/>
      <c r="G7" s="41"/>
      <c r="H7" s="39"/>
      <c r="I7" s="41"/>
      <c r="J7" s="42"/>
      <c r="K7" s="39"/>
      <c r="L7" s="105"/>
      <c r="M7" s="14"/>
      <c r="N7" s="163"/>
    </row>
    <row r="8" spans="1:19" ht="12">
      <c r="A8" s="10"/>
      <c r="B8" s="39"/>
      <c r="C8" s="35"/>
      <c r="D8" s="35"/>
      <c r="E8" s="35"/>
      <c r="F8" s="11"/>
      <c r="G8" s="35"/>
      <c r="H8" s="35"/>
      <c r="I8" s="35"/>
      <c r="J8" s="26"/>
      <c r="K8" s="35"/>
      <c r="L8" s="14"/>
      <c r="M8" s="14"/>
      <c r="N8" s="163"/>
    </row>
    <row r="9" spans="1:19" ht="12">
      <c r="A9" s="10"/>
      <c r="B9" s="148" t="s">
        <v>11</v>
      </c>
      <c r="C9" s="355" t="s">
        <v>66</v>
      </c>
      <c r="D9" s="355"/>
      <c r="E9" s="355"/>
      <c r="F9" s="11"/>
      <c r="G9" s="354" t="s">
        <v>12</v>
      </c>
      <c r="H9" s="352"/>
      <c r="I9" s="352"/>
      <c r="J9" s="394">
        <v>43215</v>
      </c>
      <c r="K9" s="394"/>
      <c r="L9" s="79"/>
      <c r="M9" s="14"/>
      <c r="N9" s="163"/>
    </row>
    <row r="10" spans="1:19" ht="25.5" customHeight="1">
      <c r="A10" s="10"/>
      <c r="B10" s="148" t="s">
        <v>13</v>
      </c>
      <c r="C10" s="395" t="s">
        <v>67</v>
      </c>
      <c r="D10" s="395"/>
      <c r="E10" s="395"/>
      <c r="F10" s="11"/>
      <c r="G10" s="354" t="s">
        <v>14</v>
      </c>
      <c r="H10" s="352"/>
      <c r="I10" s="352"/>
      <c r="J10" s="396" t="s">
        <v>202</v>
      </c>
      <c r="K10" s="396"/>
      <c r="L10" s="397"/>
      <c r="M10" s="14"/>
      <c r="N10" s="163"/>
    </row>
    <row r="11" spans="1:19" ht="12">
      <c r="A11" s="10"/>
      <c r="B11" s="148" t="s">
        <v>15</v>
      </c>
      <c r="C11" s="353" t="s">
        <v>16</v>
      </c>
      <c r="D11" s="353"/>
      <c r="E11" s="353"/>
      <c r="F11" s="11"/>
      <c r="G11" s="354" t="s">
        <v>17</v>
      </c>
      <c r="H11" s="352"/>
      <c r="I11" s="352"/>
      <c r="J11" s="392">
        <v>1</v>
      </c>
      <c r="K11" s="392"/>
      <c r="L11" s="79"/>
      <c r="M11" s="14"/>
      <c r="N11" s="172" t="s">
        <v>51</v>
      </c>
      <c r="O11" s="158" t="s">
        <v>52</v>
      </c>
      <c r="P11" s="158" t="s">
        <v>42</v>
      </c>
      <c r="Q11" s="158" t="s">
        <v>25</v>
      </c>
      <c r="R11" s="163" t="s">
        <v>26</v>
      </c>
      <c r="S11" s="169" t="s">
        <v>58</v>
      </c>
    </row>
    <row r="12" spans="1:19" ht="12">
      <c r="A12" s="10"/>
      <c r="B12" s="148"/>
      <c r="C12" s="353"/>
      <c r="D12" s="353"/>
      <c r="E12" s="353"/>
      <c r="F12" s="11"/>
      <c r="G12" s="354" t="s">
        <v>18</v>
      </c>
      <c r="H12" s="352"/>
      <c r="I12" s="352"/>
      <c r="J12" s="392">
        <v>1</v>
      </c>
      <c r="K12" s="392"/>
      <c r="L12" s="79"/>
      <c r="M12" s="14"/>
      <c r="N12" s="163"/>
    </row>
    <row r="13" spans="1:19" ht="12">
      <c r="A13" s="10"/>
      <c r="B13" s="148" t="s">
        <v>19</v>
      </c>
      <c r="C13" s="353" t="s">
        <v>77</v>
      </c>
      <c r="D13" s="353"/>
      <c r="E13" s="353"/>
      <c r="F13" s="11"/>
      <c r="G13" s="354" t="s">
        <v>20</v>
      </c>
      <c r="H13" s="352"/>
      <c r="I13" s="352"/>
      <c r="J13" s="392" t="s">
        <v>198</v>
      </c>
      <c r="K13" s="392"/>
      <c r="L13" s="79"/>
      <c r="M13" s="14"/>
      <c r="N13" s="163"/>
    </row>
    <row r="14" spans="1:19" ht="12">
      <c r="A14" s="10"/>
      <c r="B14" s="146"/>
      <c r="C14" s="367"/>
      <c r="D14" s="367"/>
      <c r="E14" s="367"/>
      <c r="F14" s="11"/>
      <c r="G14" s="368"/>
      <c r="H14" s="369"/>
      <c r="I14" s="369"/>
      <c r="J14" s="80"/>
      <c r="K14" s="81"/>
      <c r="L14" s="82"/>
      <c r="M14" s="14"/>
      <c r="N14" s="163"/>
    </row>
    <row r="15" spans="1:19" ht="12">
      <c r="A15" s="10"/>
      <c r="B15" s="252" t="s">
        <v>137</v>
      </c>
      <c r="C15" s="370" t="s">
        <v>138</v>
      </c>
      <c r="D15" s="371"/>
      <c r="E15" s="371"/>
      <c r="F15" s="371"/>
      <c r="G15" s="371"/>
      <c r="H15" s="371"/>
      <c r="I15" s="372"/>
      <c r="J15" s="17"/>
      <c r="K15" s="373"/>
      <c r="L15" s="373"/>
      <c r="M15" s="10"/>
      <c r="N15" s="172" t="s">
        <v>107</v>
      </c>
      <c r="O15" s="159">
        <v>0.2</v>
      </c>
      <c r="P15" s="159">
        <v>0.2</v>
      </c>
      <c r="Q15" s="158" t="s">
        <v>25</v>
      </c>
      <c r="R15" s="163" t="s">
        <v>26</v>
      </c>
      <c r="S15" s="169" t="s">
        <v>58</v>
      </c>
    </row>
    <row r="16" spans="1:19" ht="12">
      <c r="A16" s="10"/>
      <c r="B16" s="44"/>
      <c r="C16" s="44"/>
      <c r="D16" s="44"/>
      <c r="E16" s="44"/>
      <c r="F16" s="44"/>
      <c r="G16" s="44"/>
      <c r="H16" s="44"/>
      <c r="I16" s="44"/>
      <c r="J16" s="148"/>
      <c r="K16" s="45"/>
      <c r="L16" s="46"/>
      <c r="M16" s="10"/>
      <c r="N16" s="172" t="s">
        <v>73</v>
      </c>
      <c r="O16" s="159">
        <v>0.15</v>
      </c>
      <c r="P16" s="159">
        <v>0.15</v>
      </c>
    </row>
    <row r="17" spans="1:20" ht="12">
      <c r="A17" s="10"/>
      <c r="B17" s="370" t="s">
        <v>202</v>
      </c>
      <c r="C17" s="371"/>
      <c r="D17" s="371"/>
      <c r="E17" s="371"/>
      <c r="F17" s="371"/>
      <c r="G17" s="371"/>
      <c r="H17" s="371"/>
      <c r="I17" s="371"/>
      <c r="J17" s="371"/>
      <c r="K17" s="371"/>
      <c r="L17" s="372"/>
      <c r="M17" s="10"/>
      <c r="N17" s="172" t="s">
        <v>74</v>
      </c>
      <c r="O17" s="159">
        <v>0.1</v>
      </c>
      <c r="P17" s="159">
        <v>0.12</v>
      </c>
    </row>
    <row r="18" spans="1:20" ht="12">
      <c r="A18" s="10"/>
      <c r="B18" s="118"/>
      <c r="C18" s="117"/>
      <c r="D18" s="117"/>
      <c r="E18" s="117"/>
      <c r="F18" s="117"/>
      <c r="G18" s="117"/>
      <c r="H18" s="117"/>
      <c r="I18" s="117"/>
      <c r="J18" s="117"/>
      <c r="K18" s="117"/>
      <c r="L18" s="119"/>
      <c r="M18" s="10"/>
      <c r="N18" s="172" t="s">
        <v>75</v>
      </c>
      <c r="O18" s="159">
        <v>0.2</v>
      </c>
      <c r="P18" s="159">
        <v>0.7</v>
      </c>
    </row>
    <row r="19" spans="1:20" ht="12" hidden="1">
      <c r="A19" s="10"/>
      <c r="B19" s="61"/>
      <c r="C19" s="366"/>
      <c r="D19" s="393"/>
      <c r="E19" s="393"/>
      <c r="F19" s="393"/>
      <c r="G19" s="393"/>
      <c r="H19" s="393"/>
      <c r="I19" s="393"/>
      <c r="J19" s="101"/>
      <c r="K19" s="374"/>
      <c r="L19" s="375"/>
      <c r="M19" s="10"/>
      <c r="N19" s="173"/>
    </row>
    <row r="20" spans="1:20" ht="24.95" customHeight="1">
      <c r="A20" s="10"/>
      <c r="B20" s="213">
        <v>1</v>
      </c>
      <c r="C20" s="385" t="s">
        <v>150</v>
      </c>
      <c r="D20" s="386" t="s">
        <v>27</v>
      </c>
      <c r="E20" s="386" t="s">
        <v>27</v>
      </c>
      <c r="F20" s="386" t="s">
        <v>27</v>
      </c>
      <c r="G20" s="386" t="s">
        <v>27</v>
      </c>
      <c r="H20" s="386" t="s">
        <v>27</v>
      </c>
      <c r="I20" s="387" t="s">
        <v>27</v>
      </c>
      <c r="J20" s="48"/>
      <c r="K20" s="380"/>
      <c r="L20" s="381"/>
      <c r="M20" s="10"/>
      <c r="N20" s="173">
        <v>1050</v>
      </c>
      <c r="O20" s="230">
        <f>N20*$O$15</f>
        <v>210</v>
      </c>
      <c r="P20" s="55">
        <f>N20*$P$15</f>
        <v>210</v>
      </c>
      <c r="Q20" s="55">
        <f>N20+O20+P20</f>
        <v>1470</v>
      </c>
      <c r="R20" s="164">
        <f>N20*B20</f>
        <v>1050</v>
      </c>
      <c r="S20" s="231">
        <f>O20*B20</f>
        <v>210</v>
      </c>
      <c r="T20" s="6"/>
    </row>
    <row r="21" spans="1:20" ht="24.95" customHeight="1">
      <c r="A21" s="10"/>
      <c r="B21" s="213">
        <v>1</v>
      </c>
      <c r="C21" s="385" t="s">
        <v>151</v>
      </c>
      <c r="D21" s="386"/>
      <c r="E21" s="386"/>
      <c r="F21" s="386"/>
      <c r="G21" s="386"/>
      <c r="H21" s="386"/>
      <c r="I21" s="387"/>
      <c r="J21" s="48"/>
      <c r="K21" s="380"/>
      <c r="L21" s="381"/>
      <c r="M21" s="10"/>
      <c r="N21" s="173">
        <v>94</v>
      </c>
      <c r="O21" s="230">
        <f>N21*$O$15</f>
        <v>18.8</v>
      </c>
      <c r="P21" s="55">
        <f>N21*$P$15</f>
        <v>18.8</v>
      </c>
      <c r="Q21" s="55">
        <f>N21+O21+P21</f>
        <v>131.6</v>
      </c>
      <c r="R21" s="164">
        <f>N21*B21</f>
        <v>94</v>
      </c>
      <c r="S21" s="231">
        <f>O21*B21</f>
        <v>18.8</v>
      </c>
      <c r="T21" s="6"/>
    </row>
    <row r="22" spans="1:20" ht="24.95" customHeight="1">
      <c r="A22" s="4"/>
      <c r="B22" s="52">
        <v>2</v>
      </c>
      <c r="C22" s="385" t="s">
        <v>156</v>
      </c>
      <c r="D22" s="386"/>
      <c r="E22" s="386"/>
      <c r="F22" s="386"/>
      <c r="G22" s="386"/>
      <c r="H22" s="386"/>
      <c r="I22" s="387"/>
      <c r="J22" s="84"/>
      <c r="K22" s="411"/>
      <c r="L22" s="412"/>
      <c r="M22" s="14"/>
      <c r="N22" s="233">
        <v>2570</v>
      </c>
      <c r="O22" s="230">
        <f>N22*$O$16</f>
        <v>385.5</v>
      </c>
      <c r="P22" s="55">
        <f>N22*$P$16</f>
        <v>385.5</v>
      </c>
      <c r="Q22" s="55">
        <f t="shared" ref="Q22:Q25" si="0">N22+O22+P22</f>
        <v>3341</v>
      </c>
      <c r="R22" s="164">
        <f t="shared" ref="R22:R33" si="1">N22*B22</f>
        <v>5140</v>
      </c>
      <c r="S22" s="231">
        <f t="shared" ref="S22:S33" si="2">O22*B22</f>
        <v>771</v>
      </c>
    </row>
    <row r="23" spans="1:20" ht="24.95" customHeight="1">
      <c r="A23" s="10"/>
      <c r="B23" s="107">
        <v>1</v>
      </c>
      <c r="C23" s="389" t="s">
        <v>157</v>
      </c>
      <c r="D23" s="390"/>
      <c r="E23" s="390"/>
      <c r="F23" s="390"/>
      <c r="G23" s="390"/>
      <c r="H23" s="390"/>
      <c r="I23" s="391"/>
      <c r="J23" s="48"/>
      <c r="K23" s="380"/>
      <c r="L23" s="381"/>
      <c r="M23" s="10"/>
      <c r="N23" s="173">
        <v>137</v>
      </c>
      <c r="O23" s="230">
        <f t="shared" ref="O23:O33" si="3">N23*$O$18</f>
        <v>27.400000000000002</v>
      </c>
      <c r="P23" s="55">
        <f t="shared" ref="P23:P25" si="4">N23*$P$18</f>
        <v>95.899999999999991</v>
      </c>
      <c r="Q23" s="55">
        <f t="shared" si="0"/>
        <v>260.3</v>
      </c>
      <c r="R23" s="164">
        <f t="shared" si="1"/>
        <v>137</v>
      </c>
      <c r="S23" s="231">
        <f t="shared" si="2"/>
        <v>27.400000000000002</v>
      </c>
      <c r="T23" s="6"/>
    </row>
    <row r="24" spans="1:20" ht="24.95" customHeight="1">
      <c r="A24" s="4"/>
      <c r="B24" s="52">
        <v>2</v>
      </c>
      <c r="C24" s="385" t="s">
        <v>158</v>
      </c>
      <c r="D24" s="386"/>
      <c r="E24" s="386"/>
      <c r="F24" s="386"/>
      <c r="G24" s="386"/>
      <c r="H24" s="386"/>
      <c r="I24" s="387"/>
      <c r="J24" s="84"/>
      <c r="K24" s="431"/>
      <c r="L24" s="432"/>
      <c r="M24" s="14"/>
      <c r="N24" s="258">
        <v>395</v>
      </c>
      <c r="O24" s="230">
        <f t="shared" si="3"/>
        <v>79</v>
      </c>
      <c r="P24" s="55">
        <f t="shared" si="4"/>
        <v>276.5</v>
      </c>
      <c r="Q24" s="55">
        <f t="shared" si="0"/>
        <v>750.5</v>
      </c>
      <c r="R24" s="164">
        <f t="shared" si="1"/>
        <v>790</v>
      </c>
      <c r="S24" s="231">
        <f t="shared" si="2"/>
        <v>158</v>
      </c>
    </row>
    <row r="25" spans="1:20" ht="24.95" customHeight="1">
      <c r="A25" s="4"/>
      <c r="B25" s="52">
        <v>2</v>
      </c>
      <c r="C25" s="379" t="s">
        <v>159</v>
      </c>
      <c r="D25" s="379"/>
      <c r="E25" s="379"/>
      <c r="F25" s="379"/>
      <c r="G25" s="379"/>
      <c r="H25" s="379"/>
      <c r="I25" s="379"/>
      <c r="J25" s="84"/>
      <c r="K25" s="431"/>
      <c r="L25" s="432"/>
      <c r="M25" s="14"/>
      <c r="N25" s="259">
        <v>25</v>
      </c>
      <c r="O25" s="230">
        <f t="shared" si="3"/>
        <v>5</v>
      </c>
      <c r="P25" s="55">
        <f t="shared" si="4"/>
        <v>17.5</v>
      </c>
      <c r="Q25" s="55">
        <f t="shared" si="0"/>
        <v>47.5</v>
      </c>
      <c r="R25" s="164">
        <f t="shared" si="1"/>
        <v>50</v>
      </c>
      <c r="S25" s="231">
        <f t="shared" si="2"/>
        <v>10</v>
      </c>
    </row>
    <row r="26" spans="1:20" ht="28.35" customHeight="1">
      <c r="A26" s="4"/>
      <c r="B26" s="52">
        <v>1</v>
      </c>
      <c r="C26" s="379" t="s">
        <v>160</v>
      </c>
      <c r="D26" s="379"/>
      <c r="E26" s="379"/>
      <c r="F26" s="379"/>
      <c r="G26" s="379"/>
      <c r="H26" s="379"/>
      <c r="I26" s="379"/>
      <c r="J26" s="84"/>
      <c r="K26" s="424"/>
      <c r="L26" s="425"/>
      <c r="M26" s="187"/>
      <c r="N26" s="229">
        <v>35</v>
      </c>
      <c r="O26" s="230">
        <f t="shared" si="3"/>
        <v>7</v>
      </c>
      <c r="P26" s="55">
        <f>N26*$P$18</f>
        <v>24.5</v>
      </c>
      <c r="Q26" s="55">
        <f>N26+O26+P26</f>
        <v>66.5</v>
      </c>
      <c r="R26" s="164">
        <f t="shared" si="1"/>
        <v>35</v>
      </c>
      <c r="S26" s="231">
        <f t="shared" si="2"/>
        <v>7</v>
      </c>
    </row>
    <row r="27" spans="1:20" ht="24.95" customHeight="1">
      <c r="A27" s="4"/>
      <c r="B27" s="50">
        <v>1</v>
      </c>
      <c r="C27" s="379" t="s">
        <v>161</v>
      </c>
      <c r="D27" s="379"/>
      <c r="E27" s="379"/>
      <c r="F27" s="379"/>
      <c r="G27" s="379"/>
      <c r="H27" s="379"/>
      <c r="I27" s="379"/>
      <c r="J27" s="84"/>
      <c r="K27" s="424"/>
      <c r="L27" s="425"/>
      <c r="M27" s="14"/>
      <c r="N27" s="236">
        <v>40</v>
      </c>
      <c r="O27" s="230">
        <f t="shared" si="3"/>
        <v>8</v>
      </c>
      <c r="P27" s="55">
        <f>N27*$P$18</f>
        <v>28</v>
      </c>
      <c r="Q27" s="55">
        <f>N27+O27+P27</f>
        <v>76</v>
      </c>
      <c r="R27" s="164">
        <f t="shared" si="1"/>
        <v>40</v>
      </c>
      <c r="S27" s="231">
        <f t="shared" si="2"/>
        <v>8</v>
      </c>
    </row>
    <row r="28" spans="1:20" ht="24.95" customHeight="1">
      <c r="A28" s="4"/>
      <c r="B28" s="50">
        <v>1</v>
      </c>
      <c r="C28" s="379" t="s">
        <v>175</v>
      </c>
      <c r="D28" s="379"/>
      <c r="E28" s="379"/>
      <c r="F28" s="379"/>
      <c r="G28" s="379"/>
      <c r="H28" s="379"/>
      <c r="I28" s="379"/>
      <c r="J28" s="84"/>
      <c r="K28" s="424"/>
      <c r="L28" s="425"/>
      <c r="M28" s="14"/>
      <c r="N28" s="236">
        <v>10</v>
      </c>
      <c r="O28" s="230">
        <f t="shared" si="3"/>
        <v>2</v>
      </c>
      <c r="P28" s="55">
        <f>N28*$P$18</f>
        <v>7</v>
      </c>
      <c r="Q28" s="55">
        <f>N28+O28+P28</f>
        <v>19</v>
      </c>
      <c r="R28" s="164">
        <f t="shared" si="1"/>
        <v>10</v>
      </c>
      <c r="S28" s="231">
        <f t="shared" si="2"/>
        <v>2</v>
      </c>
    </row>
    <row r="29" spans="1:20" ht="24.95" customHeight="1">
      <c r="A29" s="4"/>
      <c r="B29" s="50">
        <v>1</v>
      </c>
      <c r="C29" s="379" t="s">
        <v>163</v>
      </c>
      <c r="D29" s="379"/>
      <c r="E29" s="379"/>
      <c r="F29" s="379"/>
      <c r="G29" s="379"/>
      <c r="H29" s="379"/>
      <c r="I29" s="379"/>
      <c r="J29" s="84"/>
      <c r="K29" s="424"/>
      <c r="L29" s="425"/>
      <c r="M29" s="14"/>
      <c r="N29" s="236">
        <v>10</v>
      </c>
      <c r="O29" s="230">
        <f t="shared" si="3"/>
        <v>2</v>
      </c>
      <c r="P29" s="55">
        <f>N29*$P$18</f>
        <v>7</v>
      </c>
      <c r="Q29" s="55">
        <f>N29+O29+P29</f>
        <v>19</v>
      </c>
      <c r="R29" s="164">
        <f t="shared" si="1"/>
        <v>10</v>
      </c>
      <c r="S29" s="231">
        <f t="shared" si="2"/>
        <v>2</v>
      </c>
    </row>
    <row r="30" spans="1:20" ht="24.95" customHeight="1">
      <c r="A30" s="10"/>
      <c r="B30" s="113">
        <v>3</v>
      </c>
      <c r="C30" s="379" t="s">
        <v>164</v>
      </c>
      <c r="D30" s="379"/>
      <c r="E30" s="379"/>
      <c r="F30" s="379"/>
      <c r="G30" s="379"/>
      <c r="H30" s="379"/>
      <c r="I30" s="379"/>
      <c r="J30" s="84"/>
      <c r="K30" s="424"/>
      <c r="L30" s="425"/>
      <c r="M30" s="10"/>
      <c r="N30" s="172">
        <v>70</v>
      </c>
      <c r="O30" s="230">
        <f t="shared" si="3"/>
        <v>14</v>
      </c>
      <c r="P30" s="55">
        <f t="shared" ref="P30:P33" si="5">N30*$P$18</f>
        <v>49</v>
      </c>
      <c r="Q30" s="55">
        <f t="shared" ref="Q30:Q33" si="6">N30+O30+P30</f>
        <v>133</v>
      </c>
      <c r="R30" s="164">
        <f t="shared" si="1"/>
        <v>210</v>
      </c>
      <c r="S30" s="231">
        <f t="shared" si="2"/>
        <v>42</v>
      </c>
      <c r="T30" s="6"/>
    </row>
    <row r="31" spans="1:20" ht="24.95" customHeight="1">
      <c r="A31" s="4"/>
      <c r="B31" s="52">
        <v>5</v>
      </c>
      <c r="C31" s="379" t="s">
        <v>165</v>
      </c>
      <c r="D31" s="379"/>
      <c r="E31" s="379"/>
      <c r="F31" s="379"/>
      <c r="G31" s="379"/>
      <c r="H31" s="379"/>
      <c r="I31" s="379"/>
      <c r="J31" s="84"/>
      <c r="K31" s="424"/>
      <c r="L31" s="425"/>
      <c r="M31" s="14"/>
      <c r="N31" s="168">
        <v>35</v>
      </c>
      <c r="O31" s="230">
        <f t="shared" si="3"/>
        <v>7</v>
      </c>
      <c r="P31" s="55">
        <f t="shared" si="5"/>
        <v>24.5</v>
      </c>
      <c r="Q31" s="55">
        <f t="shared" si="6"/>
        <v>66.5</v>
      </c>
      <c r="R31" s="164">
        <f t="shared" si="1"/>
        <v>175</v>
      </c>
      <c r="S31" s="237">
        <f t="shared" si="2"/>
        <v>35</v>
      </c>
    </row>
    <row r="32" spans="1:20" ht="24.95" customHeight="1">
      <c r="A32" s="4"/>
      <c r="B32" s="50">
        <v>3</v>
      </c>
      <c r="C32" s="388" t="s">
        <v>135</v>
      </c>
      <c r="D32" s="388"/>
      <c r="E32" s="388"/>
      <c r="F32" s="388"/>
      <c r="G32" s="388"/>
      <c r="H32" s="388"/>
      <c r="I32" s="388"/>
      <c r="J32" s="48"/>
      <c r="K32" s="424"/>
      <c r="L32" s="425"/>
      <c r="M32" s="51"/>
      <c r="N32" s="173">
        <v>35</v>
      </c>
      <c r="O32" s="230">
        <f t="shared" si="3"/>
        <v>7</v>
      </c>
      <c r="P32" s="55">
        <f t="shared" si="5"/>
        <v>24.5</v>
      </c>
      <c r="Q32" s="55">
        <f t="shared" si="6"/>
        <v>66.5</v>
      </c>
      <c r="R32" s="164">
        <f t="shared" si="1"/>
        <v>105</v>
      </c>
      <c r="S32" s="231">
        <f t="shared" si="2"/>
        <v>21</v>
      </c>
    </row>
    <row r="33" spans="1:2043 2051:3070 3078:6138 6146:7165 7173:8192 8200:10233 10241:11260 11268:12287 12295:15355 15363:16382" ht="24.95" customHeight="1">
      <c r="A33" s="10"/>
      <c r="B33" s="52">
        <v>2</v>
      </c>
      <c r="C33" s="379" t="s">
        <v>166</v>
      </c>
      <c r="D33" s="379"/>
      <c r="E33" s="379"/>
      <c r="F33" s="379"/>
      <c r="G33" s="379"/>
      <c r="H33" s="379"/>
      <c r="I33" s="379"/>
      <c r="J33" s="84"/>
      <c r="K33" s="424"/>
      <c r="L33" s="425"/>
      <c r="M33" s="114"/>
      <c r="N33" s="176">
        <v>7</v>
      </c>
      <c r="O33" s="230">
        <f t="shared" si="3"/>
        <v>1.4000000000000001</v>
      </c>
      <c r="P33" s="55">
        <f t="shared" si="5"/>
        <v>4.8999999999999995</v>
      </c>
      <c r="Q33" s="55">
        <f t="shared" si="6"/>
        <v>13.3</v>
      </c>
      <c r="R33" s="164">
        <f t="shared" si="1"/>
        <v>14</v>
      </c>
      <c r="S33" s="231">
        <f t="shared" si="2"/>
        <v>2.8000000000000003</v>
      </c>
    </row>
    <row r="34" spans="1:2043 2051:3070 3078:6138 6146:7165 7173:8192 8200:10233 10241:11260 11268:12287 12295:15355 15363:16382" ht="24.95" customHeight="1">
      <c r="A34" s="10"/>
      <c r="B34" s="52"/>
      <c r="C34" s="379"/>
      <c r="D34" s="379"/>
      <c r="E34" s="379"/>
      <c r="F34" s="379"/>
      <c r="G34" s="379"/>
      <c r="H34" s="379"/>
      <c r="I34" s="379"/>
      <c r="J34" s="84"/>
      <c r="K34" s="424"/>
      <c r="L34" s="425"/>
      <c r="M34" s="114"/>
      <c r="N34" s="176"/>
      <c r="O34" s="230"/>
      <c r="P34" s="55"/>
      <c r="Q34" s="55"/>
      <c r="R34" s="164">
        <f>SUM(R20:R33)</f>
        <v>7860</v>
      </c>
      <c r="S34" s="164">
        <f>SUM(S20:S33)</f>
        <v>1315</v>
      </c>
    </row>
    <row r="35" spans="1:2043 2051:3070 3078:6138 6146:7165 7173:8192 8200:10233 10241:11260 11268:12287 12295:15355 15363:16382" ht="24.95" customHeight="1">
      <c r="A35" s="4"/>
      <c r="B35" s="50"/>
      <c r="C35" s="379"/>
      <c r="D35" s="379"/>
      <c r="E35" s="379"/>
      <c r="F35" s="379"/>
      <c r="G35" s="379"/>
      <c r="H35" s="379"/>
      <c r="I35" s="379"/>
      <c r="J35" s="223"/>
      <c r="K35" s="424"/>
      <c r="L35" s="425"/>
      <c r="M35" s="14"/>
      <c r="N35" s="236"/>
      <c r="O35" s="230"/>
      <c r="P35" s="55"/>
      <c r="Q35" s="55"/>
      <c r="R35" s="164"/>
      <c r="S35" s="231"/>
    </row>
    <row r="36" spans="1:2043 2051:3070 3078:6138 6146:7165 7173:8192 8200:10233 10241:11260 11268:12287 12295:15355 15363:16382" ht="24.95" customHeight="1">
      <c r="A36" s="4"/>
      <c r="B36" s="50"/>
      <c r="C36" s="149"/>
      <c r="D36" s="150"/>
      <c r="E36" s="150"/>
      <c r="F36" s="150"/>
      <c r="G36" s="150"/>
      <c r="H36" s="150"/>
      <c r="I36" s="151"/>
      <c r="J36" s="245"/>
      <c r="K36" s="424"/>
      <c r="L36" s="425"/>
      <c r="M36" s="14"/>
      <c r="N36" s="236"/>
      <c r="O36" s="230"/>
      <c r="P36" s="55"/>
      <c r="Q36" s="55"/>
      <c r="R36" s="164"/>
      <c r="S36" s="231"/>
    </row>
    <row r="37" spans="1:2043 2051:3070 3078:6138 6146:7165 7173:8192 8200:10233 10241:11260 11268:12287 12295:15355 15363:16382" ht="24.95" customHeight="1">
      <c r="A37" s="4"/>
      <c r="B37" s="52"/>
      <c r="C37" s="387"/>
      <c r="D37" s="379"/>
      <c r="E37" s="379"/>
      <c r="F37" s="379"/>
      <c r="G37" s="379"/>
      <c r="H37" s="379"/>
      <c r="I37" s="379"/>
      <c r="J37" s="48"/>
      <c r="K37" s="424"/>
      <c r="L37" s="425"/>
      <c r="M37" s="51"/>
      <c r="N37" s="173"/>
      <c r="O37" s="230"/>
      <c r="P37" s="55"/>
      <c r="Q37" s="55"/>
      <c r="R37" s="164"/>
      <c r="S37" s="231"/>
    </row>
    <row r="38" spans="1:2043 2051:3070 3078:6138 6146:7165 7173:8192 8200:10233 10241:11260 11268:12287 12295:15355 15363:16382" s="240" customFormat="1" ht="24.95" customHeight="1">
      <c r="A38" s="13"/>
      <c r="B38" s="244"/>
      <c r="C38" s="247"/>
      <c r="D38" s="247"/>
      <c r="E38" s="247"/>
      <c r="F38" s="247"/>
      <c r="G38" s="247"/>
      <c r="H38" s="247"/>
      <c r="I38" s="255"/>
      <c r="J38" s="246"/>
      <c r="K38" s="248"/>
      <c r="L38" s="193"/>
      <c r="M38" s="13"/>
      <c r="N38" s="10"/>
      <c r="O38" s="239"/>
      <c r="W38" s="241"/>
      <c r="X38" s="242"/>
      <c r="Y38" s="243"/>
      <c r="Z38" s="10"/>
      <c r="AA38" s="10"/>
      <c r="AB38" s="239"/>
      <c r="AJ38" s="241"/>
      <c r="AK38" s="242"/>
      <c r="AL38" s="243"/>
      <c r="AM38" s="10"/>
      <c r="AN38" s="10"/>
      <c r="AO38" s="239"/>
      <c r="AW38" s="241"/>
      <c r="AX38" s="242"/>
      <c r="AY38" s="243"/>
      <c r="AZ38" s="10"/>
      <c r="BA38" s="10"/>
      <c r="BB38" s="239"/>
      <c r="BJ38" s="241"/>
      <c r="BK38" s="242"/>
      <c r="BL38" s="243"/>
      <c r="BM38" s="10"/>
      <c r="BN38" s="10"/>
      <c r="BO38" s="239"/>
      <c r="BW38" s="241"/>
      <c r="BX38" s="242"/>
      <c r="BY38" s="243"/>
      <c r="BZ38" s="10"/>
      <c r="CA38" s="10"/>
      <c r="CB38" s="239"/>
      <c r="CJ38" s="241"/>
      <c r="CK38" s="242"/>
      <c r="CL38" s="243"/>
      <c r="CM38" s="10"/>
      <c r="CN38" s="10"/>
      <c r="CO38" s="239"/>
      <c r="CW38" s="241"/>
      <c r="CX38" s="242"/>
      <c r="CY38" s="243"/>
      <c r="CZ38" s="10"/>
      <c r="DA38" s="10"/>
      <c r="DB38" s="239"/>
      <c r="DJ38" s="241"/>
      <c r="DK38" s="242"/>
      <c r="DL38" s="243"/>
      <c r="DM38" s="10"/>
      <c r="DN38" s="10"/>
      <c r="DO38" s="239"/>
      <c r="DW38" s="241"/>
      <c r="DX38" s="242"/>
      <c r="DY38" s="243"/>
      <c r="DZ38" s="10"/>
      <c r="EA38" s="10"/>
      <c r="EB38" s="239"/>
      <c r="EJ38" s="241"/>
      <c r="EK38" s="242"/>
      <c r="EL38" s="243"/>
      <c r="EM38" s="10"/>
      <c r="EN38" s="10"/>
      <c r="EO38" s="239"/>
      <c r="EW38" s="241"/>
      <c r="EX38" s="242"/>
      <c r="EY38" s="243"/>
      <c r="EZ38" s="10"/>
      <c r="FA38" s="10"/>
      <c r="FB38" s="239"/>
      <c r="FJ38" s="241"/>
      <c r="FK38" s="242"/>
      <c r="FL38" s="243"/>
      <c r="FM38" s="10"/>
      <c r="FN38" s="10"/>
      <c r="FO38" s="239"/>
      <c r="FW38" s="241"/>
      <c r="FX38" s="242"/>
      <c r="FY38" s="243"/>
      <c r="FZ38" s="10"/>
      <c r="GA38" s="10"/>
      <c r="GB38" s="239"/>
      <c r="GJ38" s="241"/>
      <c r="GK38" s="242"/>
      <c r="GL38" s="243"/>
      <c r="GM38" s="10"/>
      <c r="GN38" s="10"/>
      <c r="GO38" s="239"/>
      <c r="GW38" s="241"/>
      <c r="GX38" s="242"/>
      <c r="GY38" s="243"/>
      <c r="GZ38" s="10"/>
      <c r="HA38" s="10"/>
      <c r="HB38" s="239"/>
      <c r="HJ38" s="241"/>
      <c r="HK38" s="242"/>
      <c r="HL38" s="243"/>
      <c r="HM38" s="10"/>
      <c r="HN38" s="10"/>
      <c r="HO38" s="239"/>
      <c r="HW38" s="241"/>
      <c r="HX38" s="242"/>
      <c r="HY38" s="243"/>
      <c r="HZ38" s="10"/>
      <c r="IA38" s="10"/>
      <c r="IB38" s="239"/>
      <c r="IJ38" s="241"/>
      <c r="IK38" s="242"/>
      <c r="IL38" s="243"/>
      <c r="IM38" s="10"/>
      <c r="IN38" s="10"/>
      <c r="IO38" s="239"/>
      <c r="IW38" s="241"/>
      <c r="IX38" s="242"/>
      <c r="IY38" s="243"/>
      <c r="IZ38" s="10"/>
      <c r="JA38" s="10"/>
      <c r="JB38" s="239"/>
      <c r="JJ38" s="241"/>
      <c r="JK38" s="242"/>
      <c r="JL38" s="243"/>
      <c r="JM38" s="10"/>
      <c r="JN38" s="10"/>
      <c r="JO38" s="239"/>
      <c r="JW38" s="241"/>
      <c r="JX38" s="242"/>
      <c r="JY38" s="243"/>
      <c r="JZ38" s="10"/>
      <c r="KA38" s="10"/>
      <c r="KB38" s="239"/>
      <c r="KJ38" s="241"/>
      <c r="KK38" s="242"/>
      <c r="KL38" s="243"/>
      <c r="KM38" s="10"/>
      <c r="KN38" s="10"/>
      <c r="KO38" s="239"/>
      <c r="KW38" s="241"/>
      <c r="KX38" s="242"/>
      <c r="KY38" s="243"/>
      <c r="KZ38" s="10"/>
      <c r="LA38" s="10"/>
      <c r="LB38" s="239"/>
      <c r="LJ38" s="241"/>
      <c r="LK38" s="242"/>
      <c r="LL38" s="243"/>
      <c r="LM38" s="10"/>
      <c r="LN38" s="10"/>
      <c r="LO38" s="239"/>
      <c r="LW38" s="241"/>
      <c r="LX38" s="242"/>
      <c r="LY38" s="243"/>
      <c r="LZ38" s="10"/>
      <c r="MA38" s="10"/>
      <c r="MB38" s="239"/>
      <c r="MJ38" s="241"/>
      <c r="MK38" s="242"/>
      <c r="ML38" s="243"/>
      <c r="MM38" s="10"/>
      <c r="MN38" s="10"/>
      <c r="MO38" s="239"/>
      <c r="MW38" s="241"/>
      <c r="MX38" s="242"/>
      <c r="MY38" s="243"/>
      <c r="MZ38" s="10"/>
      <c r="NA38" s="10"/>
      <c r="NB38" s="239"/>
      <c r="NJ38" s="241"/>
      <c r="NK38" s="242"/>
      <c r="NL38" s="243"/>
      <c r="NM38" s="10"/>
      <c r="NN38" s="10"/>
      <c r="NO38" s="239"/>
      <c r="NW38" s="241"/>
      <c r="NX38" s="242"/>
      <c r="NY38" s="243"/>
      <c r="NZ38" s="10"/>
      <c r="OA38" s="10"/>
      <c r="OB38" s="239"/>
      <c r="OJ38" s="241"/>
      <c r="OK38" s="242"/>
      <c r="OL38" s="243"/>
      <c r="OM38" s="10"/>
      <c r="ON38" s="10"/>
      <c r="OO38" s="239"/>
      <c r="OW38" s="241"/>
      <c r="OX38" s="242"/>
      <c r="OY38" s="243"/>
      <c r="OZ38" s="10"/>
      <c r="PA38" s="10"/>
      <c r="PB38" s="239"/>
      <c r="PJ38" s="241"/>
      <c r="PK38" s="242"/>
      <c r="PL38" s="243"/>
      <c r="PM38" s="10"/>
      <c r="PN38" s="10"/>
      <c r="PO38" s="239"/>
      <c r="PW38" s="241"/>
      <c r="PX38" s="242"/>
      <c r="PY38" s="243"/>
      <c r="PZ38" s="10"/>
      <c r="QA38" s="10"/>
      <c r="QB38" s="239"/>
      <c r="QJ38" s="241"/>
      <c r="QK38" s="242"/>
      <c r="QL38" s="243"/>
      <c r="QM38" s="10"/>
      <c r="QN38" s="10"/>
      <c r="QO38" s="239"/>
      <c r="QW38" s="241"/>
      <c r="QX38" s="242"/>
      <c r="QY38" s="243"/>
      <c r="QZ38" s="10"/>
      <c r="RA38" s="10"/>
      <c r="RB38" s="239"/>
      <c r="RJ38" s="241"/>
      <c r="RK38" s="242"/>
      <c r="RL38" s="243"/>
      <c r="RM38" s="10"/>
      <c r="RN38" s="10"/>
      <c r="RO38" s="239"/>
      <c r="RW38" s="241"/>
      <c r="RX38" s="242"/>
      <c r="RY38" s="243"/>
      <c r="RZ38" s="10"/>
      <c r="SA38" s="10"/>
      <c r="SB38" s="239"/>
      <c r="SJ38" s="241"/>
      <c r="SK38" s="242"/>
      <c r="SL38" s="243"/>
      <c r="SM38" s="10"/>
      <c r="SN38" s="10"/>
      <c r="SO38" s="239"/>
      <c r="SW38" s="241"/>
      <c r="SX38" s="242"/>
      <c r="SY38" s="243"/>
      <c r="SZ38" s="10"/>
      <c r="TA38" s="10"/>
      <c r="TB38" s="239"/>
      <c r="TJ38" s="241"/>
      <c r="TK38" s="242"/>
      <c r="TL38" s="243"/>
      <c r="TM38" s="10"/>
      <c r="TN38" s="10"/>
      <c r="TO38" s="239"/>
      <c r="TW38" s="241"/>
      <c r="TX38" s="242"/>
      <c r="TY38" s="243"/>
      <c r="TZ38" s="10"/>
      <c r="UA38" s="10"/>
      <c r="UB38" s="239"/>
      <c r="UJ38" s="241"/>
      <c r="UK38" s="242"/>
      <c r="UL38" s="243"/>
      <c r="UM38" s="10"/>
      <c r="UN38" s="10"/>
      <c r="UO38" s="239"/>
      <c r="UW38" s="241"/>
      <c r="UX38" s="242"/>
      <c r="UY38" s="243"/>
      <c r="UZ38" s="10"/>
      <c r="VA38" s="10"/>
      <c r="VB38" s="239"/>
      <c r="VJ38" s="241"/>
      <c r="VK38" s="242"/>
      <c r="VL38" s="243"/>
      <c r="VM38" s="10"/>
      <c r="VN38" s="10"/>
      <c r="VO38" s="239"/>
      <c r="VW38" s="241"/>
      <c r="VX38" s="242"/>
      <c r="VY38" s="243"/>
      <c r="VZ38" s="10"/>
      <c r="WA38" s="10"/>
      <c r="WB38" s="239"/>
      <c r="WJ38" s="241"/>
      <c r="WK38" s="242"/>
      <c r="WL38" s="243"/>
      <c r="WM38" s="10"/>
      <c r="WN38" s="10"/>
      <c r="WO38" s="239"/>
      <c r="WW38" s="241"/>
      <c r="WX38" s="242"/>
      <c r="WY38" s="243"/>
      <c r="WZ38" s="10"/>
      <c r="XA38" s="10"/>
      <c r="XB38" s="239"/>
      <c r="XJ38" s="241"/>
      <c r="XK38" s="242"/>
      <c r="XL38" s="243"/>
      <c r="XM38" s="10"/>
      <c r="XN38" s="10"/>
      <c r="XO38" s="239"/>
      <c r="XW38" s="241"/>
      <c r="XX38" s="242"/>
      <c r="XY38" s="243"/>
      <c r="XZ38" s="10"/>
      <c r="YA38" s="10"/>
      <c r="YB38" s="239"/>
      <c r="YJ38" s="241"/>
      <c r="YK38" s="242"/>
      <c r="YL38" s="243"/>
      <c r="YM38" s="10"/>
      <c r="YN38" s="10"/>
      <c r="YO38" s="239"/>
      <c r="YW38" s="241"/>
      <c r="YX38" s="242"/>
      <c r="YY38" s="243"/>
      <c r="YZ38" s="10"/>
      <c r="ZA38" s="10"/>
      <c r="ZB38" s="239"/>
      <c r="ZJ38" s="241"/>
      <c r="ZK38" s="242"/>
      <c r="ZL38" s="243"/>
      <c r="ZM38" s="10"/>
      <c r="ZN38" s="10"/>
      <c r="ZO38" s="239"/>
      <c r="ZW38" s="241"/>
      <c r="ZX38" s="242"/>
      <c r="ZY38" s="243"/>
      <c r="ZZ38" s="10"/>
      <c r="AAA38" s="10"/>
      <c r="AAB38" s="239"/>
      <c r="AAJ38" s="241"/>
      <c r="AAK38" s="242"/>
      <c r="AAL38" s="243"/>
      <c r="AAM38" s="10"/>
      <c r="AAN38" s="10"/>
      <c r="AAO38" s="239"/>
      <c r="AAW38" s="241"/>
      <c r="AAX38" s="242"/>
      <c r="AAY38" s="243"/>
      <c r="AAZ38" s="10"/>
      <c r="ABA38" s="10"/>
      <c r="ABB38" s="239"/>
      <c r="ABJ38" s="241"/>
      <c r="ABK38" s="242"/>
      <c r="ABL38" s="243"/>
      <c r="ABM38" s="10"/>
      <c r="ABN38" s="10"/>
      <c r="ABO38" s="239"/>
      <c r="ABW38" s="241"/>
      <c r="ABX38" s="242"/>
      <c r="ABY38" s="243"/>
      <c r="ABZ38" s="10"/>
      <c r="ACA38" s="10"/>
      <c r="ACB38" s="239"/>
      <c r="ACJ38" s="241"/>
      <c r="ACK38" s="242"/>
      <c r="ACL38" s="243"/>
      <c r="ACM38" s="10"/>
      <c r="ACN38" s="10"/>
      <c r="ACO38" s="239"/>
      <c r="ACW38" s="241"/>
      <c r="ACX38" s="242"/>
      <c r="ACY38" s="243"/>
      <c r="ACZ38" s="10"/>
      <c r="ADA38" s="10"/>
      <c r="ADB38" s="239"/>
      <c r="ADJ38" s="241"/>
      <c r="ADK38" s="242"/>
      <c r="ADL38" s="243"/>
      <c r="ADM38" s="10"/>
      <c r="ADN38" s="10"/>
      <c r="ADO38" s="239"/>
      <c r="ADW38" s="241"/>
      <c r="ADX38" s="242"/>
      <c r="ADY38" s="243"/>
      <c r="ADZ38" s="10"/>
      <c r="AEA38" s="10"/>
      <c r="AEB38" s="239"/>
      <c r="AEJ38" s="241"/>
      <c r="AEK38" s="242"/>
      <c r="AEL38" s="243"/>
      <c r="AEM38" s="10"/>
      <c r="AEN38" s="10"/>
      <c r="AEO38" s="239"/>
      <c r="AEW38" s="241"/>
      <c r="AEX38" s="242"/>
      <c r="AEY38" s="243"/>
      <c r="AEZ38" s="10"/>
      <c r="AFA38" s="10"/>
      <c r="AFB38" s="239"/>
      <c r="AFJ38" s="241"/>
      <c r="AFK38" s="242"/>
      <c r="AFL38" s="243"/>
      <c r="AFM38" s="10"/>
      <c r="AFN38" s="10"/>
      <c r="AFO38" s="239"/>
      <c r="AFW38" s="241"/>
      <c r="AFX38" s="242"/>
      <c r="AFY38" s="243"/>
      <c r="AFZ38" s="10"/>
      <c r="AGA38" s="10"/>
      <c r="AGB38" s="239"/>
      <c r="AGJ38" s="241"/>
      <c r="AGK38" s="242"/>
      <c r="AGL38" s="243"/>
      <c r="AGM38" s="10"/>
      <c r="AGN38" s="10"/>
      <c r="AGO38" s="239"/>
      <c r="AGW38" s="241"/>
      <c r="AGX38" s="242"/>
      <c r="AGY38" s="243"/>
      <c r="AGZ38" s="10"/>
      <c r="AHA38" s="10"/>
      <c r="AHB38" s="239"/>
      <c r="AHJ38" s="241"/>
      <c r="AHK38" s="242"/>
      <c r="AHL38" s="243"/>
      <c r="AHM38" s="10"/>
      <c r="AHN38" s="10"/>
      <c r="AHO38" s="239"/>
      <c r="AHW38" s="241"/>
      <c r="AHX38" s="242"/>
      <c r="AHY38" s="243"/>
      <c r="AHZ38" s="10"/>
      <c r="AIA38" s="10"/>
      <c r="AIB38" s="239"/>
      <c r="AIJ38" s="241"/>
      <c r="AIK38" s="242"/>
      <c r="AIL38" s="243"/>
      <c r="AIM38" s="10"/>
      <c r="AIN38" s="10"/>
      <c r="AIO38" s="239"/>
      <c r="AIW38" s="241"/>
      <c r="AIX38" s="242"/>
      <c r="AIY38" s="243"/>
      <c r="AIZ38" s="10"/>
      <c r="AJA38" s="10"/>
      <c r="AJB38" s="239"/>
      <c r="AJJ38" s="241"/>
      <c r="AJK38" s="242"/>
      <c r="AJL38" s="243"/>
      <c r="AJM38" s="10"/>
      <c r="AJN38" s="10"/>
      <c r="AJO38" s="239"/>
      <c r="AJW38" s="241"/>
      <c r="AJX38" s="242"/>
      <c r="AJY38" s="243"/>
      <c r="AJZ38" s="10"/>
      <c r="AKA38" s="10"/>
      <c r="AKB38" s="239"/>
      <c r="AKJ38" s="241"/>
      <c r="AKK38" s="242"/>
      <c r="AKL38" s="243"/>
      <c r="AKM38" s="10"/>
      <c r="AKN38" s="10"/>
      <c r="AKO38" s="239"/>
      <c r="AKW38" s="241"/>
      <c r="AKX38" s="242"/>
      <c r="AKY38" s="243"/>
      <c r="AKZ38" s="10"/>
      <c r="ALA38" s="10"/>
      <c r="ALB38" s="239"/>
      <c r="ALJ38" s="241"/>
      <c r="ALK38" s="242"/>
      <c r="ALL38" s="243"/>
      <c r="ALM38" s="10"/>
      <c r="ALN38" s="10"/>
      <c r="ALO38" s="239"/>
      <c r="ALW38" s="241"/>
      <c r="ALX38" s="242"/>
      <c r="ALY38" s="243"/>
      <c r="ALZ38" s="10"/>
      <c r="AMA38" s="10"/>
      <c r="AMB38" s="239"/>
      <c r="AMJ38" s="241"/>
      <c r="AMK38" s="242"/>
      <c r="AML38" s="243"/>
      <c r="AMM38" s="10"/>
      <c r="AMN38" s="10"/>
      <c r="AMO38" s="239"/>
      <c r="AMW38" s="241"/>
      <c r="AMX38" s="242"/>
      <c r="AMY38" s="243"/>
      <c r="AMZ38" s="10"/>
      <c r="ANA38" s="10"/>
      <c r="ANB38" s="239"/>
      <c r="ANJ38" s="241"/>
      <c r="ANK38" s="242"/>
      <c r="ANL38" s="243"/>
      <c r="ANM38" s="10"/>
      <c r="ANN38" s="10"/>
      <c r="ANO38" s="239"/>
      <c r="ANW38" s="241"/>
      <c r="ANX38" s="242"/>
      <c r="ANY38" s="243"/>
      <c r="ANZ38" s="10"/>
      <c r="AOA38" s="10"/>
      <c r="AOB38" s="239"/>
      <c r="AOJ38" s="241"/>
      <c r="AOK38" s="242"/>
      <c r="AOL38" s="243"/>
      <c r="AOM38" s="10"/>
      <c r="AON38" s="10"/>
      <c r="AOO38" s="239"/>
      <c r="AOW38" s="241"/>
      <c r="AOX38" s="242"/>
      <c r="AOY38" s="243"/>
      <c r="AOZ38" s="10"/>
      <c r="APA38" s="10"/>
      <c r="APB38" s="239"/>
      <c r="APJ38" s="241"/>
      <c r="APK38" s="242"/>
      <c r="APL38" s="243"/>
      <c r="APM38" s="10"/>
      <c r="APN38" s="10"/>
      <c r="APO38" s="239"/>
      <c r="APW38" s="241"/>
      <c r="APX38" s="242"/>
      <c r="APY38" s="243"/>
      <c r="APZ38" s="10"/>
      <c r="AQA38" s="10"/>
      <c r="AQB38" s="239"/>
      <c r="AQJ38" s="241"/>
      <c r="AQK38" s="242"/>
      <c r="AQL38" s="243"/>
      <c r="AQM38" s="10"/>
      <c r="AQN38" s="10"/>
      <c r="AQO38" s="239"/>
      <c r="AQW38" s="241"/>
      <c r="AQX38" s="242"/>
      <c r="AQY38" s="243"/>
      <c r="AQZ38" s="10"/>
      <c r="ARA38" s="10"/>
      <c r="ARB38" s="239"/>
      <c r="ARJ38" s="241"/>
      <c r="ARK38" s="242"/>
      <c r="ARL38" s="243"/>
      <c r="ARM38" s="10"/>
      <c r="ARN38" s="10"/>
      <c r="ARO38" s="239"/>
      <c r="ARW38" s="241"/>
      <c r="ARX38" s="242"/>
      <c r="ARY38" s="243"/>
      <c r="ARZ38" s="10"/>
      <c r="ASA38" s="10"/>
      <c r="ASB38" s="239"/>
      <c r="ASJ38" s="241"/>
      <c r="ASK38" s="242"/>
      <c r="ASL38" s="243"/>
      <c r="ASM38" s="10"/>
      <c r="ASN38" s="10"/>
      <c r="ASO38" s="239"/>
      <c r="ASW38" s="241"/>
      <c r="ASX38" s="242"/>
      <c r="ASY38" s="243"/>
      <c r="ASZ38" s="10"/>
      <c r="ATA38" s="10"/>
      <c r="ATB38" s="239"/>
      <c r="ATJ38" s="241"/>
      <c r="ATK38" s="242"/>
      <c r="ATL38" s="243"/>
      <c r="ATM38" s="10"/>
      <c r="ATN38" s="10"/>
      <c r="ATO38" s="239"/>
      <c r="ATW38" s="241"/>
      <c r="ATX38" s="242"/>
      <c r="ATY38" s="243"/>
      <c r="ATZ38" s="10"/>
      <c r="AUA38" s="10"/>
      <c r="AUB38" s="239"/>
      <c r="AUJ38" s="241"/>
      <c r="AUK38" s="242"/>
      <c r="AUL38" s="243"/>
      <c r="AUM38" s="10"/>
      <c r="AUN38" s="10"/>
      <c r="AUO38" s="239"/>
      <c r="AUW38" s="241"/>
      <c r="AUX38" s="242"/>
      <c r="AUY38" s="243"/>
      <c r="AUZ38" s="10"/>
      <c r="AVA38" s="10"/>
      <c r="AVB38" s="239"/>
      <c r="AVJ38" s="241"/>
      <c r="AVK38" s="242"/>
      <c r="AVL38" s="243"/>
      <c r="AVM38" s="10"/>
      <c r="AVN38" s="10"/>
      <c r="AVO38" s="239"/>
      <c r="AVW38" s="241"/>
      <c r="AVX38" s="242"/>
      <c r="AVY38" s="243"/>
      <c r="AVZ38" s="10"/>
      <c r="AWA38" s="10"/>
      <c r="AWB38" s="239"/>
      <c r="AWJ38" s="241"/>
      <c r="AWK38" s="242"/>
      <c r="AWL38" s="243"/>
      <c r="AWM38" s="10"/>
      <c r="AWN38" s="10"/>
      <c r="AWO38" s="239"/>
      <c r="AWW38" s="241"/>
      <c r="AWX38" s="242"/>
      <c r="AWY38" s="243"/>
      <c r="AWZ38" s="10"/>
      <c r="AXA38" s="10"/>
      <c r="AXB38" s="239"/>
      <c r="AXJ38" s="241"/>
      <c r="AXK38" s="242"/>
      <c r="AXL38" s="243"/>
      <c r="AXM38" s="10"/>
      <c r="AXN38" s="10"/>
      <c r="AXO38" s="239"/>
      <c r="AXW38" s="241"/>
      <c r="AXX38" s="242"/>
      <c r="AXY38" s="243"/>
      <c r="AXZ38" s="10"/>
      <c r="AYA38" s="10"/>
      <c r="AYB38" s="239"/>
      <c r="AYJ38" s="241"/>
      <c r="AYK38" s="242"/>
      <c r="AYL38" s="243"/>
      <c r="AYM38" s="10"/>
      <c r="AYN38" s="10"/>
      <c r="AYO38" s="239"/>
      <c r="AYW38" s="241"/>
      <c r="AYX38" s="242"/>
      <c r="AYY38" s="243"/>
      <c r="AYZ38" s="10"/>
      <c r="AZA38" s="10"/>
      <c r="AZB38" s="239"/>
      <c r="AZJ38" s="241"/>
      <c r="AZK38" s="242"/>
      <c r="AZL38" s="243"/>
      <c r="AZM38" s="10"/>
      <c r="AZN38" s="10"/>
      <c r="AZO38" s="239"/>
      <c r="AZW38" s="241"/>
      <c r="AZX38" s="242"/>
      <c r="AZY38" s="243"/>
      <c r="AZZ38" s="10"/>
      <c r="BAA38" s="10"/>
      <c r="BAB38" s="239"/>
      <c r="BAJ38" s="241"/>
      <c r="BAK38" s="242"/>
      <c r="BAL38" s="243"/>
      <c r="BAM38" s="10"/>
      <c r="BAN38" s="10"/>
      <c r="BAO38" s="239"/>
      <c r="BAW38" s="241"/>
      <c r="BAX38" s="242"/>
      <c r="BAY38" s="243"/>
      <c r="BAZ38" s="10"/>
      <c r="BBA38" s="10"/>
      <c r="BBB38" s="239"/>
      <c r="BBJ38" s="241"/>
      <c r="BBK38" s="242"/>
      <c r="BBL38" s="243"/>
      <c r="BBM38" s="10"/>
      <c r="BBN38" s="10"/>
      <c r="BBO38" s="239"/>
      <c r="BBW38" s="241"/>
      <c r="BBX38" s="242"/>
      <c r="BBY38" s="243"/>
      <c r="BBZ38" s="10"/>
      <c r="BCA38" s="10"/>
      <c r="BCB38" s="239"/>
      <c r="BCJ38" s="241"/>
      <c r="BCK38" s="242"/>
      <c r="BCL38" s="243"/>
      <c r="BCM38" s="10"/>
      <c r="BCN38" s="10"/>
      <c r="BCO38" s="239"/>
      <c r="BCW38" s="241"/>
      <c r="BCX38" s="242"/>
      <c r="BCY38" s="243"/>
      <c r="BCZ38" s="10"/>
      <c r="BDA38" s="10"/>
      <c r="BDB38" s="239"/>
      <c r="BDJ38" s="241"/>
      <c r="BDK38" s="242"/>
      <c r="BDL38" s="243"/>
      <c r="BDM38" s="10"/>
      <c r="BDN38" s="10"/>
      <c r="BDO38" s="239"/>
      <c r="BDW38" s="241"/>
      <c r="BDX38" s="242"/>
      <c r="BDY38" s="243"/>
      <c r="BDZ38" s="10"/>
      <c r="BEA38" s="10"/>
      <c r="BEB38" s="239"/>
      <c r="BEJ38" s="241"/>
      <c r="BEK38" s="242"/>
      <c r="BEL38" s="243"/>
      <c r="BEM38" s="10"/>
      <c r="BEN38" s="10"/>
      <c r="BEO38" s="239"/>
      <c r="BEW38" s="241"/>
      <c r="BEX38" s="242"/>
      <c r="BEY38" s="243"/>
      <c r="BEZ38" s="10"/>
      <c r="BFA38" s="10"/>
      <c r="BFB38" s="239"/>
      <c r="BFJ38" s="241"/>
      <c r="BFK38" s="242"/>
      <c r="BFL38" s="243"/>
      <c r="BFM38" s="10"/>
      <c r="BFN38" s="10"/>
      <c r="BFO38" s="239"/>
      <c r="BFW38" s="241"/>
      <c r="BFX38" s="242"/>
      <c r="BFY38" s="243"/>
      <c r="BFZ38" s="10"/>
      <c r="BGA38" s="10"/>
      <c r="BGB38" s="239"/>
      <c r="BGJ38" s="241"/>
      <c r="BGK38" s="242"/>
      <c r="BGL38" s="243"/>
      <c r="BGM38" s="10"/>
      <c r="BGN38" s="10"/>
      <c r="BGO38" s="239"/>
      <c r="BGW38" s="241"/>
      <c r="BGX38" s="242"/>
      <c r="BGY38" s="243"/>
      <c r="BGZ38" s="10"/>
      <c r="BHA38" s="10"/>
      <c r="BHB38" s="239"/>
      <c r="BHJ38" s="241"/>
      <c r="BHK38" s="242"/>
      <c r="BHL38" s="243"/>
      <c r="BHM38" s="10"/>
      <c r="BHN38" s="10"/>
      <c r="BHO38" s="239"/>
      <c r="BHW38" s="241"/>
      <c r="BHX38" s="242"/>
      <c r="BHY38" s="243"/>
      <c r="BHZ38" s="10"/>
      <c r="BIA38" s="10"/>
      <c r="BIB38" s="239"/>
      <c r="BIJ38" s="241"/>
      <c r="BIK38" s="242"/>
      <c r="BIL38" s="243"/>
      <c r="BIM38" s="10"/>
      <c r="BIN38" s="10"/>
      <c r="BIO38" s="239"/>
      <c r="BIW38" s="241"/>
      <c r="BIX38" s="242"/>
      <c r="BIY38" s="243"/>
      <c r="BIZ38" s="10"/>
      <c r="BJA38" s="10"/>
      <c r="BJB38" s="239"/>
      <c r="BJJ38" s="241"/>
      <c r="BJK38" s="242"/>
      <c r="BJL38" s="243"/>
      <c r="BJM38" s="10"/>
      <c r="BJN38" s="10"/>
      <c r="BJO38" s="239"/>
      <c r="BJW38" s="241"/>
      <c r="BJX38" s="242"/>
      <c r="BJY38" s="243"/>
      <c r="BJZ38" s="10"/>
      <c r="BKA38" s="10"/>
      <c r="BKB38" s="239"/>
      <c r="BKJ38" s="241"/>
      <c r="BKK38" s="242"/>
      <c r="BKL38" s="243"/>
      <c r="BKM38" s="10"/>
      <c r="BKN38" s="10"/>
      <c r="BKO38" s="239"/>
      <c r="BKW38" s="241"/>
      <c r="BKX38" s="242"/>
      <c r="BKY38" s="243"/>
      <c r="BKZ38" s="10"/>
      <c r="BLA38" s="10"/>
      <c r="BLB38" s="239"/>
      <c r="BLJ38" s="241"/>
      <c r="BLK38" s="242"/>
      <c r="BLL38" s="243"/>
      <c r="BLM38" s="10"/>
      <c r="BLN38" s="10"/>
      <c r="BLO38" s="239"/>
      <c r="BLW38" s="241"/>
      <c r="BLX38" s="242"/>
      <c r="BLY38" s="243"/>
      <c r="BLZ38" s="10"/>
      <c r="BMA38" s="10"/>
      <c r="BMB38" s="239"/>
      <c r="BMJ38" s="241"/>
      <c r="BMK38" s="242"/>
      <c r="BML38" s="243"/>
      <c r="BMM38" s="10"/>
      <c r="BMN38" s="10"/>
      <c r="BMO38" s="239"/>
      <c r="BMW38" s="241"/>
      <c r="BMX38" s="242"/>
      <c r="BMY38" s="243"/>
      <c r="BMZ38" s="10"/>
      <c r="BNA38" s="10"/>
      <c r="BNB38" s="239"/>
      <c r="BNJ38" s="241"/>
      <c r="BNK38" s="242"/>
      <c r="BNL38" s="243"/>
      <c r="BNM38" s="10"/>
      <c r="BNN38" s="10"/>
      <c r="BNO38" s="239"/>
      <c r="BNW38" s="241"/>
      <c r="BNX38" s="242"/>
      <c r="BNY38" s="243"/>
      <c r="BNZ38" s="10"/>
      <c r="BOA38" s="10"/>
      <c r="BOB38" s="239"/>
      <c r="BOJ38" s="241"/>
      <c r="BOK38" s="242"/>
      <c r="BOL38" s="243"/>
      <c r="BOM38" s="10"/>
      <c r="BON38" s="10"/>
      <c r="BOO38" s="239"/>
      <c r="BOW38" s="241"/>
      <c r="BOX38" s="242"/>
      <c r="BOY38" s="243"/>
      <c r="BOZ38" s="10"/>
      <c r="BPA38" s="10"/>
      <c r="BPB38" s="239"/>
      <c r="BPJ38" s="241"/>
      <c r="BPK38" s="242"/>
      <c r="BPL38" s="243"/>
      <c r="BPM38" s="10"/>
      <c r="BPN38" s="10"/>
      <c r="BPO38" s="239"/>
      <c r="BPW38" s="241"/>
      <c r="BPX38" s="242"/>
      <c r="BPY38" s="243"/>
      <c r="BPZ38" s="10"/>
      <c r="BQA38" s="10"/>
      <c r="BQB38" s="239"/>
      <c r="BQJ38" s="241"/>
      <c r="BQK38" s="242"/>
      <c r="BQL38" s="243"/>
      <c r="BQM38" s="10"/>
      <c r="BQN38" s="10"/>
      <c r="BQO38" s="239"/>
      <c r="BQW38" s="241"/>
      <c r="BQX38" s="242"/>
      <c r="BQY38" s="243"/>
      <c r="BQZ38" s="10"/>
      <c r="BRA38" s="10"/>
      <c r="BRB38" s="239"/>
      <c r="BRJ38" s="241"/>
      <c r="BRK38" s="242"/>
      <c r="BRL38" s="243"/>
      <c r="BRM38" s="10"/>
      <c r="BRN38" s="10"/>
      <c r="BRO38" s="239"/>
      <c r="BRW38" s="241"/>
      <c r="BRX38" s="242"/>
      <c r="BRY38" s="243"/>
      <c r="BRZ38" s="10"/>
      <c r="BSA38" s="10"/>
      <c r="BSB38" s="239"/>
      <c r="BSJ38" s="241"/>
      <c r="BSK38" s="242"/>
      <c r="BSL38" s="243"/>
      <c r="BSM38" s="10"/>
      <c r="BSN38" s="10"/>
      <c r="BSO38" s="239"/>
      <c r="BSW38" s="241"/>
      <c r="BSX38" s="242"/>
      <c r="BSY38" s="243"/>
      <c r="BSZ38" s="10"/>
      <c r="BTA38" s="10"/>
      <c r="BTB38" s="239"/>
      <c r="BTJ38" s="241"/>
      <c r="BTK38" s="242"/>
      <c r="BTL38" s="243"/>
      <c r="BTM38" s="10"/>
      <c r="BTN38" s="10"/>
      <c r="BTO38" s="239"/>
      <c r="BTW38" s="241"/>
      <c r="BTX38" s="242"/>
      <c r="BTY38" s="243"/>
      <c r="BTZ38" s="10"/>
      <c r="BUA38" s="10"/>
      <c r="BUB38" s="239"/>
      <c r="BUJ38" s="241"/>
      <c r="BUK38" s="242"/>
      <c r="BUL38" s="243"/>
      <c r="BUM38" s="10"/>
      <c r="BUN38" s="10"/>
      <c r="BUO38" s="239"/>
      <c r="BUW38" s="241"/>
      <c r="BUX38" s="242"/>
      <c r="BUY38" s="243"/>
      <c r="BUZ38" s="10"/>
      <c r="BVA38" s="10"/>
      <c r="BVB38" s="239"/>
      <c r="BVJ38" s="241"/>
      <c r="BVK38" s="242"/>
      <c r="BVL38" s="243"/>
      <c r="BVM38" s="10"/>
      <c r="BVN38" s="10"/>
      <c r="BVO38" s="239"/>
      <c r="BVW38" s="241"/>
      <c r="BVX38" s="242"/>
      <c r="BVY38" s="243"/>
      <c r="BVZ38" s="10"/>
      <c r="BWA38" s="10"/>
      <c r="BWB38" s="239"/>
      <c r="BWJ38" s="241"/>
      <c r="BWK38" s="242"/>
      <c r="BWL38" s="243"/>
      <c r="BWM38" s="10"/>
      <c r="BWN38" s="10"/>
      <c r="BWO38" s="239"/>
      <c r="BWW38" s="241"/>
      <c r="BWX38" s="242"/>
      <c r="BWY38" s="243"/>
      <c r="BWZ38" s="10"/>
      <c r="BXA38" s="10"/>
      <c r="BXB38" s="239"/>
      <c r="BXJ38" s="241"/>
      <c r="BXK38" s="242"/>
      <c r="BXL38" s="243"/>
      <c r="BXM38" s="10"/>
      <c r="BXN38" s="10"/>
      <c r="BXO38" s="239"/>
      <c r="BXW38" s="241"/>
      <c r="BXX38" s="242"/>
      <c r="BXY38" s="243"/>
      <c r="BXZ38" s="10"/>
      <c r="BYA38" s="10"/>
      <c r="BYB38" s="239"/>
      <c r="BYJ38" s="241"/>
      <c r="BYK38" s="242"/>
      <c r="BYL38" s="243"/>
      <c r="BYM38" s="10"/>
      <c r="BYN38" s="10"/>
      <c r="BYO38" s="239"/>
      <c r="BYW38" s="241"/>
      <c r="BYX38" s="242"/>
      <c r="BYY38" s="243"/>
      <c r="BYZ38" s="10"/>
      <c r="BZA38" s="10"/>
      <c r="BZB38" s="239"/>
      <c r="BZJ38" s="241"/>
      <c r="BZK38" s="242"/>
      <c r="BZL38" s="243"/>
      <c r="BZM38" s="10"/>
      <c r="BZN38" s="10"/>
      <c r="BZO38" s="239"/>
      <c r="BZW38" s="241"/>
      <c r="BZX38" s="242"/>
      <c r="BZY38" s="243"/>
      <c r="BZZ38" s="10"/>
      <c r="CAA38" s="10"/>
      <c r="CAB38" s="239"/>
      <c r="CAJ38" s="241"/>
      <c r="CAK38" s="242"/>
      <c r="CAL38" s="243"/>
      <c r="CAM38" s="10"/>
      <c r="CAN38" s="10"/>
      <c r="CAO38" s="239"/>
      <c r="CAW38" s="241"/>
      <c r="CAX38" s="242"/>
      <c r="CAY38" s="243"/>
      <c r="CAZ38" s="10"/>
      <c r="CBA38" s="10"/>
      <c r="CBB38" s="239"/>
      <c r="CBJ38" s="241"/>
      <c r="CBK38" s="242"/>
      <c r="CBL38" s="243"/>
      <c r="CBM38" s="10"/>
      <c r="CBN38" s="10"/>
      <c r="CBO38" s="239"/>
      <c r="CBW38" s="241"/>
      <c r="CBX38" s="242"/>
      <c r="CBY38" s="243"/>
      <c r="CBZ38" s="10"/>
      <c r="CCA38" s="10"/>
      <c r="CCB38" s="239"/>
      <c r="CCJ38" s="241"/>
      <c r="CCK38" s="242"/>
      <c r="CCL38" s="243"/>
      <c r="CCM38" s="10"/>
      <c r="CCN38" s="10"/>
      <c r="CCO38" s="239"/>
      <c r="CCW38" s="241"/>
      <c r="CCX38" s="242"/>
      <c r="CCY38" s="243"/>
      <c r="CCZ38" s="10"/>
      <c r="CDA38" s="10"/>
      <c r="CDB38" s="239"/>
      <c r="CDJ38" s="241"/>
      <c r="CDK38" s="242"/>
      <c r="CDL38" s="243"/>
      <c r="CDM38" s="10"/>
      <c r="CDN38" s="10"/>
      <c r="CDO38" s="239"/>
      <c r="CDW38" s="241"/>
      <c r="CDX38" s="242"/>
      <c r="CDY38" s="243"/>
      <c r="CDZ38" s="10"/>
      <c r="CEA38" s="10"/>
      <c r="CEB38" s="239"/>
      <c r="CEJ38" s="241"/>
      <c r="CEK38" s="242"/>
      <c r="CEL38" s="243"/>
      <c r="CEM38" s="10"/>
      <c r="CEN38" s="10"/>
      <c r="CEO38" s="239"/>
      <c r="CEW38" s="241"/>
      <c r="CEX38" s="242"/>
      <c r="CEY38" s="243"/>
      <c r="CEZ38" s="10"/>
      <c r="CFA38" s="10"/>
      <c r="CFB38" s="239"/>
      <c r="CFJ38" s="241"/>
      <c r="CFK38" s="242"/>
      <c r="CFL38" s="243"/>
      <c r="CFM38" s="10"/>
      <c r="CFN38" s="10"/>
      <c r="CFO38" s="239"/>
      <c r="CFW38" s="241"/>
      <c r="CFX38" s="242"/>
      <c r="CFY38" s="243"/>
      <c r="CFZ38" s="10"/>
      <c r="CGA38" s="10"/>
      <c r="CGB38" s="239"/>
      <c r="CGJ38" s="241"/>
      <c r="CGK38" s="242"/>
      <c r="CGL38" s="243"/>
      <c r="CGM38" s="10"/>
      <c r="CGN38" s="10"/>
      <c r="CGO38" s="239"/>
      <c r="CGW38" s="241"/>
      <c r="CGX38" s="242"/>
      <c r="CGY38" s="243"/>
      <c r="CGZ38" s="10"/>
      <c r="CHA38" s="10"/>
      <c r="CHB38" s="239"/>
      <c r="CHJ38" s="241"/>
      <c r="CHK38" s="242"/>
      <c r="CHL38" s="243"/>
      <c r="CHM38" s="10"/>
      <c r="CHN38" s="10"/>
      <c r="CHO38" s="239"/>
      <c r="CHW38" s="241"/>
      <c r="CHX38" s="242"/>
      <c r="CHY38" s="243"/>
      <c r="CHZ38" s="10"/>
      <c r="CIA38" s="10"/>
      <c r="CIB38" s="239"/>
      <c r="CIJ38" s="241"/>
      <c r="CIK38" s="242"/>
      <c r="CIL38" s="243"/>
      <c r="CIM38" s="10"/>
      <c r="CIN38" s="10"/>
      <c r="CIO38" s="239"/>
      <c r="CIW38" s="241"/>
      <c r="CIX38" s="242"/>
      <c r="CIY38" s="243"/>
      <c r="CIZ38" s="10"/>
      <c r="CJA38" s="10"/>
      <c r="CJB38" s="239"/>
      <c r="CJJ38" s="241"/>
      <c r="CJK38" s="242"/>
      <c r="CJL38" s="243"/>
      <c r="CJM38" s="10"/>
      <c r="CJN38" s="10"/>
      <c r="CJO38" s="239"/>
      <c r="CJW38" s="241"/>
      <c r="CJX38" s="242"/>
      <c r="CJY38" s="243"/>
      <c r="CJZ38" s="10"/>
      <c r="CKA38" s="10"/>
      <c r="CKB38" s="239"/>
      <c r="CKJ38" s="241"/>
      <c r="CKK38" s="242"/>
      <c r="CKL38" s="243"/>
      <c r="CKM38" s="10"/>
      <c r="CKN38" s="10"/>
      <c r="CKO38" s="239"/>
      <c r="CKW38" s="241"/>
      <c r="CKX38" s="242"/>
      <c r="CKY38" s="243"/>
      <c r="CKZ38" s="10"/>
      <c r="CLA38" s="10"/>
      <c r="CLB38" s="239"/>
      <c r="CLJ38" s="241"/>
      <c r="CLK38" s="242"/>
      <c r="CLL38" s="243"/>
      <c r="CLM38" s="10"/>
      <c r="CLN38" s="10"/>
      <c r="CLO38" s="239"/>
      <c r="CLW38" s="241"/>
      <c r="CLX38" s="242"/>
      <c r="CLY38" s="243"/>
      <c r="CLZ38" s="10"/>
      <c r="CMA38" s="10"/>
      <c r="CMB38" s="239"/>
      <c r="CMJ38" s="241"/>
      <c r="CMK38" s="242"/>
      <c r="CML38" s="243"/>
      <c r="CMM38" s="10"/>
      <c r="CMN38" s="10"/>
      <c r="CMO38" s="239"/>
      <c r="CMW38" s="241"/>
      <c r="CMX38" s="242"/>
      <c r="CMY38" s="243"/>
      <c r="CMZ38" s="10"/>
      <c r="CNA38" s="10"/>
      <c r="CNB38" s="239"/>
      <c r="CNJ38" s="241"/>
      <c r="CNK38" s="242"/>
      <c r="CNL38" s="243"/>
      <c r="CNM38" s="10"/>
      <c r="CNN38" s="10"/>
      <c r="CNO38" s="239"/>
      <c r="CNW38" s="241"/>
      <c r="CNX38" s="242"/>
      <c r="CNY38" s="243"/>
      <c r="CNZ38" s="10"/>
      <c r="COA38" s="10"/>
      <c r="COB38" s="239"/>
      <c r="COJ38" s="241"/>
      <c r="COK38" s="242"/>
      <c r="COL38" s="243"/>
      <c r="COM38" s="10"/>
      <c r="CON38" s="10"/>
      <c r="COO38" s="239"/>
      <c r="COW38" s="241"/>
      <c r="COX38" s="242"/>
      <c r="COY38" s="243"/>
      <c r="COZ38" s="10"/>
      <c r="CPA38" s="10"/>
      <c r="CPB38" s="239"/>
      <c r="CPJ38" s="241"/>
      <c r="CPK38" s="242"/>
      <c r="CPL38" s="243"/>
      <c r="CPM38" s="10"/>
      <c r="CPN38" s="10"/>
      <c r="CPO38" s="239"/>
      <c r="CPW38" s="241"/>
      <c r="CPX38" s="242"/>
      <c r="CPY38" s="243"/>
      <c r="CPZ38" s="10"/>
      <c r="CQA38" s="10"/>
      <c r="CQB38" s="239"/>
      <c r="CQJ38" s="241"/>
      <c r="CQK38" s="242"/>
      <c r="CQL38" s="243"/>
      <c r="CQM38" s="10"/>
      <c r="CQN38" s="10"/>
      <c r="CQO38" s="239"/>
      <c r="CQW38" s="241"/>
      <c r="CQX38" s="242"/>
      <c r="CQY38" s="243"/>
      <c r="CQZ38" s="10"/>
      <c r="CRA38" s="10"/>
      <c r="CRB38" s="239"/>
      <c r="CRJ38" s="241"/>
      <c r="CRK38" s="242"/>
      <c r="CRL38" s="243"/>
      <c r="CRM38" s="10"/>
      <c r="CRN38" s="10"/>
      <c r="CRO38" s="239"/>
      <c r="CRW38" s="241"/>
      <c r="CRX38" s="242"/>
      <c r="CRY38" s="243"/>
      <c r="CRZ38" s="10"/>
      <c r="CSA38" s="10"/>
      <c r="CSB38" s="239"/>
      <c r="CSJ38" s="241"/>
      <c r="CSK38" s="242"/>
      <c r="CSL38" s="243"/>
      <c r="CSM38" s="10"/>
      <c r="CSN38" s="10"/>
      <c r="CSO38" s="239"/>
      <c r="CSW38" s="241"/>
      <c r="CSX38" s="242"/>
      <c r="CSY38" s="243"/>
      <c r="CSZ38" s="10"/>
      <c r="CTA38" s="10"/>
      <c r="CTB38" s="239"/>
      <c r="CTJ38" s="241"/>
      <c r="CTK38" s="242"/>
      <c r="CTL38" s="243"/>
      <c r="CTM38" s="10"/>
      <c r="CTN38" s="10"/>
      <c r="CTO38" s="239"/>
      <c r="CTW38" s="241"/>
      <c r="CTX38" s="242"/>
      <c r="CTY38" s="243"/>
      <c r="CTZ38" s="10"/>
      <c r="CUA38" s="10"/>
      <c r="CUB38" s="239"/>
      <c r="CUJ38" s="241"/>
      <c r="CUK38" s="242"/>
      <c r="CUL38" s="243"/>
      <c r="CUM38" s="10"/>
      <c r="CUN38" s="10"/>
      <c r="CUO38" s="239"/>
      <c r="CUW38" s="241"/>
      <c r="CUX38" s="242"/>
      <c r="CUY38" s="243"/>
      <c r="CUZ38" s="10"/>
      <c r="CVA38" s="10"/>
      <c r="CVB38" s="239"/>
      <c r="CVJ38" s="241"/>
      <c r="CVK38" s="242"/>
      <c r="CVL38" s="243"/>
      <c r="CVM38" s="10"/>
      <c r="CVN38" s="10"/>
      <c r="CVO38" s="239"/>
      <c r="CVW38" s="241"/>
      <c r="CVX38" s="242"/>
      <c r="CVY38" s="243"/>
      <c r="CVZ38" s="10"/>
      <c r="CWA38" s="10"/>
      <c r="CWB38" s="239"/>
      <c r="CWJ38" s="241"/>
      <c r="CWK38" s="242"/>
      <c r="CWL38" s="243"/>
      <c r="CWM38" s="10"/>
      <c r="CWN38" s="10"/>
      <c r="CWO38" s="239"/>
      <c r="CWW38" s="241"/>
      <c r="CWX38" s="242"/>
      <c r="CWY38" s="243"/>
      <c r="CWZ38" s="10"/>
      <c r="CXA38" s="10"/>
      <c r="CXB38" s="239"/>
      <c r="CXJ38" s="241"/>
      <c r="CXK38" s="242"/>
      <c r="CXL38" s="243"/>
      <c r="CXM38" s="10"/>
      <c r="CXN38" s="10"/>
      <c r="CXO38" s="239"/>
      <c r="CXW38" s="241"/>
      <c r="CXX38" s="242"/>
      <c r="CXY38" s="243"/>
      <c r="CXZ38" s="10"/>
      <c r="CYA38" s="10"/>
      <c r="CYB38" s="239"/>
      <c r="CYJ38" s="241"/>
      <c r="CYK38" s="242"/>
      <c r="CYL38" s="243"/>
      <c r="CYM38" s="10"/>
      <c r="CYN38" s="10"/>
      <c r="CYO38" s="239"/>
      <c r="CYW38" s="241"/>
      <c r="CYX38" s="242"/>
      <c r="CYY38" s="243"/>
      <c r="CYZ38" s="10"/>
      <c r="CZA38" s="10"/>
      <c r="CZB38" s="239"/>
      <c r="CZJ38" s="241"/>
      <c r="CZK38" s="242"/>
      <c r="CZL38" s="243"/>
      <c r="CZM38" s="10"/>
      <c r="CZN38" s="10"/>
      <c r="CZO38" s="239"/>
      <c r="CZW38" s="241"/>
      <c r="CZX38" s="242"/>
      <c r="CZY38" s="243"/>
      <c r="CZZ38" s="10"/>
      <c r="DAA38" s="10"/>
      <c r="DAB38" s="239"/>
      <c r="DAJ38" s="241"/>
      <c r="DAK38" s="242"/>
      <c r="DAL38" s="243"/>
      <c r="DAM38" s="10"/>
      <c r="DAN38" s="10"/>
      <c r="DAO38" s="239"/>
      <c r="DAW38" s="241"/>
      <c r="DAX38" s="242"/>
      <c r="DAY38" s="243"/>
      <c r="DAZ38" s="10"/>
      <c r="DBA38" s="10"/>
      <c r="DBB38" s="239"/>
      <c r="DBJ38" s="241"/>
      <c r="DBK38" s="242"/>
      <c r="DBL38" s="243"/>
      <c r="DBM38" s="10"/>
      <c r="DBN38" s="10"/>
      <c r="DBO38" s="239"/>
      <c r="DBW38" s="241"/>
      <c r="DBX38" s="242"/>
      <c r="DBY38" s="243"/>
      <c r="DBZ38" s="10"/>
      <c r="DCA38" s="10"/>
      <c r="DCB38" s="239"/>
      <c r="DCJ38" s="241"/>
      <c r="DCK38" s="242"/>
      <c r="DCL38" s="243"/>
      <c r="DCM38" s="10"/>
      <c r="DCN38" s="10"/>
      <c r="DCO38" s="239"/>
      <c r="DCW38" s="241"/>
      <c r="DCX38" s="242"/>
      <c r="DCY38" s="243"/>
      <c r="DCZ38" s="10"/>
      <c r="DDA38" s="10"/>
      <c r="DDB38" s="239"/>
      <c r="DDJ38" s="241"/>
      <c r="DDK38" s="242"/>
      <c r="DDL38" s="243"/>
      <c r="DDM38" s="10"/>
      <c r="DDN38" s="10"/>
      <c r="DDO38" s="239"/>
      <c r="DDW38" s="241"/>
      <c r="DDX38" s="242"/>
      <c r="DDY38" s="243"/>
      <c r="DDZ38" s="10"/>
      <c r="DEA38" s="10"/>
      <c r="DEB38" s="239"/>
      <c r="DEJ38" s="241"/>
      <c r="DEK38" s="242"/>
      <c r="DEL38" s="243"/>
      <c r="DEM38" s="10"/>
      <c r="DEN38" s="10"/>
      <c r="DEO38" s="239"/>
      <c r="DEW38" s="241"/>
      <c r="DEX38" s="242"/>
      <c r="DEY38" s="243"/>
      <c r="DEZ38" s="10"/>
      <c r="DFA38" s="10"/>
      <c r="DFB38" s="239"/>
      <c r="DFJ38" s="241"/>
      <c r="DFK38" s="242"/>
      <c r="DFL38" s="243"/>
      <c r="DFM38" s="10"/>
      <c r="DFN38" s="10"/>
      <c r="DFO38" s="239"/>
      <c r="DFW38" s="241"/>
      <c r="DFX38" s="242"/>
      <c r="DFY38" s="243"/>
      <c r="DFZ38" s="10"/>
      <c r="DGA38" s="10"/>
      <c r="DGB38" s="239"/>
      <c r="DGJ38" s="241"/>
      <c r="DGK38" s="242"/>
      <c r="DGL38" s="243"/>
      <c r="DGM38" s="10"/>
      <c r="DGN38" s="10"/>
      <c r="DGO38" s="239"/>
      <c r="DGW38" s="241"/>
      <c r="DGX38" s="242"/>
      <c r="DGY38" s="243"/>
      <c r="DGZ38" s="10"/>
      <c r="DHA38" s="10"/>
      <c r="DHB38" s="239"/>
      <c r="DHJ38" s="241"/>
      <c r="DHK38" s="242"/>
      <c r="DHL38" s="243"/>
      <c r="DHM38" s="10"/>
      <c r="DHN38" s="10"/>
      <c r="DHO38" s="239"/>
      <c r="DHW38" s="241"/>
      <c r="DHX38" s="242"/>
      <c r="DHY38" s="243"/>
      <c r="DHZ38" s="10"/>
      <c r="DIA38" s="10"/>
      <c r="DIB38" s="239"/>
      <c r="DIJ38" s="241"/>
      <c r="DIK38" s="242"/>
      <c r="DIL38" s="243"/>
      <c r="DIM38" s="10"/>
      <c r="DIN38" s="10"/>
      <c r="DIO38" s="239"/>
      <c r="DIW38" s="241"/>
      <c r="DIX38" s="242"/>
      <c r="DIY38" s="243"/>
      <c r="DIZ38" s="10"/>
      <c r="DJA38" s="10"/>
      <c r="DJB38" s="239"/>
      <c r="DJJ38" s="241"/>
      <c r="DJK38" s="242"/>
      <c r="DJL38" s="243"/>
      <c r="DJM38" s="10"/>
      <c r="DJN38" s="10"/>
      <c r="DJO38" s="239"/>
      <c r="DJW38" s="241"/>
      <c r="DJX38" s="242"/>
      <c r="DJY38" s="243"/>
      <c r="DJZ38" s="10"/>
      <c r="DKA38" s="10"/>
      <c r="DKB38" s="239"/>
      <c r="DKJ38" s="241"/>
      <c r="DKK38" s="242"/>
      <c r="DKL38" s="243"/>
      <c r="DKM38" s="10"/>
      <c r="DKN38" s="10"/>
      <c r="DKO38" s="239"/>
      <c r="DKW38" s="241"/>
      <c r="DKX38" s="242"/>
      <c r="DKY38" s="243"/>
      <c r="DKZ38" s="10"/>
      <c r="DLA38" s="10"/>
      <c r="DLB38" s="239"/>
      <c r="DLJ38" s="241"/>
      <c r="DLK38" s="242"/>
      <c r="DLL38" s="243"/>
      <c r="DLM38" s="10"/>
      <c r="DLN38" s="10"/>
      <c r="DLO38" s="239"/>
      <c r="DLW38" s="241"/>
      <c r="DLX38" s="242"/>
      <c r="DLY38" s="243"/>
      <c r="DLZ38" s="10"/>
      <c r="DMA38" s="10"/>
      <c r="DMB38" s="239"/>
      <c r="DMJ38" s="241"/>
      <c r="DMK38" s="242"/>
      <c r="DML38" s="243"/>
      <c r="DMM38" s="10"/>
      <c r="DMN38" s="10"/>
      <c r="DMO38" s="239"/>
      <c r="DMW38" s="241"/>
      <c r="DMX38" s="242"/>
      <c r="DMY38" s="243"/>
      <c r="DMZ38" s="10"/>
      <c r="DNA38" s="10"/>
      <c r="DNB38" s="239"/>
      <c r="DNJ38" s="241"/>
      <c r="DNK38" s="242"/>
      <c r="DNL38" s="243"/>
      <c r="DNM38" s="10"/>
      <c r="DNN38" s="10"/>
      <c r="DNO38" s="239"/>
      <c r="DNW38" s="241"/>
      <c r="DNX38" s="242"/>
      <c r="DNY38" s="243"/>
      <c r="DNZ38" s="10"/>
      <c r="DOA38" s="10"/>
      <c r="DOB38" s="239"/>
      <c r="DOJ38" s="241"/>
      <c r="DOK38" s="242"/>
      <c r="DOL38" s="243"/>
      <c r="DOM38" s="10"/>
      <c r="DON38" s="10"/>
      <c r="DOO38" s="239"/>
      <c r="DOW38" s="241"/>
      <c r="DOX38" s="242"/>
      <c r="DOY38" s="243"/>
      <c r="DOZ38" s="10"/>
      <c r="DPA38" s="10"/>
      <c r="DPB38" s="239"/>
      <c r="DPJ38" s="241"/>
      <c r="DPK38" s="242"/>
      <c r="DPL38" s="243"/>
      <c r="DPM38" s="10"/>
      <c r="DPN38" s="10"/>
      <c r="DPO38" s="239"/>
      <c r="DPW38" s="241"/>
      <c r="DPX38" s="242"/>
      <c r="DPY38" s="243"/>
      <c r="DPZ38" s="10"/>
      <c r="DQA38" s="10"/>
      <c r="DQB38" s="239"/>
      <c r="DQJ38" s="241"/>
      <c r="DQK38" s="242"/>
      <c r="DQL38" s="243"/>
      <c r="DQM38" s="10"/>
      <c r="DQN38" s="10"/>
      <c r="DQO38" s="239"/>
      <c r="DQW38" s="241"/>
      <c r="DQX38" s="242"/>
      <c r="DQY38" s="243"/>
      <c r="DQZ38" s="10"/>
      <c r="DRA38" s="10"/>
      <c r="DRB38" s="239"/>
      <c r="DRJ38" s="241"/>
      <c r="DRK38" s="242"/>
      <c r="DRL38" s="243"/>
      <c r="DRM38" s="10"/>
      <c r="DRN38" s="10"/>
      <c r="DRO38" s="239"/>
      <c r="DRW38" s="241"/>
      <c r="DRX38" s="242"/>
      <c r="DRY38" s="243"/>
      <c r="DRZ38" s="10"/>
      <c r="DSA38" s="10"/>
      <c r="DSB38" s="239"/>
      <c r="DSJ38" s="241"/>
      <c r="DSK38" s="242"/>
      <c r="DSL38" s="243"/>
      <c r="DSM38" s="10"/>
      <c r="DSN38" s="10"/>
      <c r="DSO38" s="239"/>
      <c r="DSW38" s="241"/>
      <c r="DSX38" s="242"/>
      <c r="DSY38" s="243"/>
      <c r="DSZ38" s="10"/>
      <c r="DTA38" s="10"/>
      <c r="DTB38" s="239"/>
      <c r="DTJ38" s="241"/>
      <c r="DTK38" s="242"/>
      <c r="DTL38" s="243"/>
      <c r="DTM38" s="10"/>
      <c r="DTN38" s="10"/>
      <c r="DTO38" s="239"/>
      <c r="DTW38" s="241"/>
      <c r="DTX38" s="242"/>
      <c r="DTY38" s="243"/>
      <c r="DTZ38" s="10"/>
      <c r="DUA38" s="10"/>
      <c r="DUB38" s="239"/>
      <c r="DUJ38" s="241"/>
      <c r="DUK38" s="242"/>
      <c r="DUL38" s="243"/>
      <c r="DUM38" s="10"/>
      <c r="DUN38" s="10"/>
      <c r="DUO38" s="239"/>
      <c r="DUW38" s="241"/>
      <c r="DUX38" s="242"/>
      <c r="DUY38" s="243"/>
      <c r="DUZ38" s="10"/>
      <c r="DVA38" s="10"/>
      <c r="DVB38" s="239"/>
      <c r="DVJ38" s="241"/>
      <c r="DVK38" s="242"/>
      <c r="DVL38" s="243"/>
      <c r="DVM38" s="10"/>
      <c r="DVN38" s="10"/>
      <c r="DVO38" s="239"/>
      <c r="DVW38" s="241"/>
      <c r="DVX38" s="242"/>
      <c r="DVY38" s="243"/>
      <c r="DVZ38" s="10"/>
      <c r="DWA38" s="10"/>
      <c r="DWB38" s="239"/>
      <c r="DWJ38" s="241"/>
      <c r="DWK38" s="242"/>
      <c r="DWL38" s="243"/>
      <c r="DWM38" s="10"/>
      <c r="DWN38" s="10"/>
      <c r="DWO38" s="239"/>
      <c r="DWW38" s="241"/>
      <c r="DWX38" s="242"/>
      <c r="DWY38" s="243"/>
      <c r="DWZ38" s="10"/>
      <c r="DXA38" s="10"/>
      <c r="DXB38" s="239"/>
      <c r="DXJ38" s="241"/>
      <c r="DXK38" s="242"/>
      <c r="DXL38" s="243"/>
      <c r="DXM38" s="10"/>
      <c r="DXN38" s="10"/>
      <c r="DXO38" s="239"/>
      <c r="DXW38" s="241"/>
      <c r="DXX38" s="242"/>
      <c r="DXY38" s="243"/>
      <c r="DXZ38" s="10"/>
      <c r="DYA38" s="10"/>
      <c r="DYB38" s="239"/>
      <c r="DYJ38" s="241"/>
      <c r="DYK38" s="242"/>
      <c r="DYL38" s="243"/>
      <c r="DYM38" s="10"/>
      <c r="DYN38" s="10"/>
      <c r="DYO38" s="239"/>
      <c r="DYW38" s="241"/>
      <c r="DYX38" s="242"/>
      <c r="DYY38" s="243"/>
      <c r="DYZ38" s="10"/>
      <c r="DZA38" s="10"/>
      <c r="DZB38" s="239"/>
      <c r="DZJ38" s="241"/>
      <c r="DZK38" s="242"/>
      <c r="DZL38" s="243"/>
      <c r="DZM38" s="10"/>
      <c r="DZN38" s="10"/>
      <c r="DZO38" s="239"/>
      <c r="DZW38" s="241"/>
      <c r="DZX38" s="242"/>
      <c r="DZY38" s="243"/>
      <c r="DZZ38" s="10"/>
      <c r="EAA38" s="10"/>
      <c r="EAB38" s="239"/>
      <c r="EAJ38" s="241"/>
      <c r="EAK38" s="242"/>
      <c r="EAL38" s="243"/>
      <c r="EAM38" s="10"/>
      <c r="EAN38" s="10"/>
      <c r="EAO38" s="239"/>
      <c r="EAW38" s="241"/>
      <c r="EAX38" s="242"/>
      <c r="EAY38" s="243"/>
      <c r="EAZ38" s="10"/>
      <c r="EBA38" s="10"/>
      <c r="EBB38" s="239"/>
      <c r="EBJ38" s="241"/>
      <c r="EBK38" s="242"/>
      <c r="EBL38" s="243"/>
      <c r="EBM38" s="10"/>
      <c r="EBN38" s="10"/>
      <c r="EBO38" s="239"/>
      <c r="EBW38" s="241"/>
      <c r="EBX38" s="242"/>
      <c r="EBY38" s="243"/>
      <c r="EBZ38" s="10"/>
      <c r="ECA38" s="10"/>
      <c r="ECB38" s="239"/>
      <c r="ECJ38" s="241"/>
      <c r="ECK38" s="242"/>
      <c r="ECL38" s="243"/>
      <c r="ECM38" s="10"/>
      <c r="ECN38" s="10"/>
      <c r="ECO38" s="239"/>
      <c r="ECW38" s="241"/>
      <c r="ECX38" s="242"/>
      <c r="ECY38" s="243"/>
      <c r="ECZ38" s="10"/>
      <c r="EDA38" s="10"/>
      <c r="EDB38" s="239"/>
      <c r="EDJ38" s="241"/>
      <c r="EDK38" s="242"/>
      <c r="EDL38" s="243"/>
      <c r="EDM38" s="10"/>
      <c r="EDN38" s="10"/>
      <c r="EDO38" s="239"/>
      <c r="EDW38" s="241"/>
      <c r="EDX38" s="242"/>
      <c r="EDY38" s="243"/>
      <c r="EDZ38" s="10"/>
      <c r="EEA38" s="10"/>
      <c r="EEB38" s="239"/>
      <c r="EEJ38" s="241"/>
      <c r="EEK38" s="242"/>
      <c r="EEL38" s="243"/>
      <c r="EEM38" s="10"/>
      <c r="EEN38" s="10"/>
      <c r="EEO38" s="239"/>
      <c r="EEW38" s="241"/>
      <c r="EEX38" s="242"/>
      <c r="EEY38" s="243"/>
      <c r="EEZ38" s="10"/>
      <c r="EFA38" s="10"/>
      <c r="EFB38" s="239"/>
      <c r="EFJ38" s="241"/>
      <c r="EFK38" s="242"/>
      <c r="EFL38" s="243"/>
      <c r="EFM38" s="10"/>
      <c r="EFN38" s="10"/>
      <c r="EFO38" s="239"/>
      <c r="EFW38" s="241"/>
      <c r="EFX38" s="242"/>
      <c r="EFY38" s="243"/>
      <c r="EFZ38" s="10"/>
      <c r="EGA38" s="10"/>
      <c r="EGB38" s="239"/>
      <c r="EGJ38" s="241"/>
      <c r="EGK38" s="242"/>
      <c r="EGL38" s="243"/>
      <c r="EGM38" s="10"/>
      <c r="EGN38" s="10"/>
      <c r="EGO38" s="239"/>
      <c r="EGW38" s="241"/>
      <c r="EGX38" s="242"/>
      <c r="EGY38" s="243"/>
      <c r="EGZ38" s="10"/>
      <c r="EHA38" s="10"/>
      <c r="EHB38" s="239"/>
      <c r="EHJ38" s="241"/>
      <c r="EHK38" s="242"/>
      <c r="EHL38" s="243"/>
      <c r="EHM38" s="10"/>
      <c r="EHN38" s="10"/>
      <c r="EHO38" s="239"/>
      <c r="EHW38" s="241"/>
      <c r="EHX38" s="242"/>
      <c r="EHY38" s="243"/>
      <c r="EHZ38" s="10"/>
      <c r="EIA38" s="10"/>
      <c r="EIB38" s="239"/>
      <c r="EIJ38" s="241"/>
      <c r="EIK38" s="242"/>
      <c r="EIL38" s="243"/>
      <c r="EIM38" s="10"/>
      <c r="EIN38" s="10"/>
      <c r="EIO38" s="239"/>
      <c r="EIW38" s="241"/>
      <c r="EIX38" s="242"/>
      <c r="EIY38" s="243"/>
      <c r="EIZ38" s="10"/>
      <c r="EJA38" s="10"/>
      <c r="EJB38" s="239"/>
      <c r="EJJ38" s="241"/>
      <c r="EJK38" s="242"/>
      <c r="EJL38" s="243"/>
      <c r="EJM38" s="10"/>
      <c r="EJN38" s="10"/>
      <c r="EJO38" s="239"/>
      <c r="EJW38" s="241"/>
      <c r="EJX38" s="242"/>
      <c r="EJY38" s="243"/>
      <c r="EJZ38" s="10"/>
      <c r="EKA38" s="10"/>
      <c r="EKB38" s="239"/>
      <c r="EKJ38" s="241"/>
      <c r="EKK38" s="242"/>
      <c r="EKL38" s="243"/>
      <c r="EKM38" s="10"/>
      <c r="EKN38" s="10"/>
      <c r="EKO38" s="239"/>
      <c r="EKW38" s="241"/>
      <c r="EKX38" s="242"/>
      <c r="EKY38" s="243"/>
      <c r="EKZ38" s="10"/>
      <c r="ELA38" s="10"/>
      <c r="ELB38" s="239"/>
      <c r="ELJ38" s="241"/>
      <c r="ELK38" s="242"/>
      <c r="ELL38" s="243"/>
      <c r="ELM38" s="10"/>
      <c r="ELN38" s="10"/>
      <c r="ELO38" s="239"/>
      <c r="ELW38" s="241"/>
      <c r="ELX38" s="242"/>
      <c r="ELY38" s="243"/>
      <c r="ELZ38" s="10"/>
      <c r="EMA38" s="10"/>
      <c r="EMB38" s="239"/>
      <c r="EMJ38" s="241"/>
      <c r="EMK38" s="242"/>
      <c r="EML38" s="243"/>
      <c r="EMM38" s="10"/>
      <c r="EMN38" s="10"/>
      <c r="EMO38" s="239"/>
      <c r="EMW38" s="241"/>
      <c r="EMX38" s="242"/>
      <c r="EMY38" s="243"/>
      <c r="EMZ38" s="10"/>
      <c r="ENA38" s="10"/>
      <c r="ENB38" s="239"/>
      <c r="ENJ38" s="241"/>
      <c r="ENK38" s="242"/>
      <c r="ENL38" s="243"/>
      <c r="ENM38" s="10"/>
      <c r="ENN38" s="10"/>
      <c r="ENO38" s="239"/>
      <c r="ENW38" s="241"/>
      <c r="ENX38" s="242"/>
      <c r="ENY38" s="243"/>
      <c r="ENZ38" s="10"/>
      <c r="EOA38" s="10"/>
      <c r="EOB38" s="239"/>
      <c r="EOJ38" s="241"/>
      <c r="EOK38" s="242"/>
      <c r="EOL38" s="243"/>
      <c r="EOM38" s="10"/>
      <c r="EON38" s="10"/>
      <c r="EOO38" s="239"/>
      <c r="EOW38" s="241"/>
      <c r="EOX38" s="242"/>
      <c r="EOY38" s="243"/>
      <c r="EOZ38" s="10"/>
      <c r="EPA38" s="10"/>
      <c r="EPB38" s="239"/>
      <c r="EPJ38" s="241"/>
      <c r="EPK38" s="242"/>
      <c r="EPL38" s="243"/>
      <c r="EPM38" s="10"/>
      <c r="EPN38" s="10"/>
      <c r="EPO38" s="239"/>
      <c r="EPW38" s="241"/>
      <c r="EPX38" s="242"/>
      <c r="EPY38" s="243"/>
      <c r="EPZ38" s="10"/>
      <c r="EQA38" s="10"/>
      <c r="EQB38" s="239"/>
      <c r="EQJ38" s="241"/>
      <c r="EQK38" s="242"/>
      <c r="EQL38" s="243"/>
      <c r="EQM38" s="10"/>
      <c r="EQN38" s="10"/>
      <c r="EQO38" s="239"/>
      <c r="EQW38" s="241"/>
      <c r="EQX38" s="242"/>
      <c r="EQY38" s="243"/>
      <c r="EQZ38" s="10"/>
      <c r="ERA38" s="10"/>
      <c r="ERB38" s="239"/>
      <c r="ERJ38" s="241"/>
      <c r="ERK38" s="242"/>
      <c r="ERL38" s="243"/>
      <c r="ERM38" s="10"/>
      <c r="ERN38" s="10"/>
      <c r="ERO38" s="239"/>
      <c r="ERW38" s="241"/>
      <c r="ERX38" s="242"/>
      <c r="ERY38" s="243"/>
      <c r="ERZ38" s="10"/>
      <c r="ESA38" s="10"/>
      <c r="ESB38" s="239"/>
      <c r="ESJ38" s="241"/>
      <c r="ESK38" s="242"/>
      <c r="ESL38" s="243"/>
      <c r="ESM38" s="10"/>
      <c r="ESN38" s="10"/>
      <c r="ESO38" s="239"/>
      <c r="ESW38" s="241"/>
      <c r="ESX38" s="242"/>
      <c r="ESY38" s="243"/>
      <c r="ESZ38" s="10"/>
      <c r="ETA38" s="10"/>
      <c r="ETB38" s="239"/>
      <c r="ETJ38" s="241"/>
      <c r="ETK38" s="242"/>
      <c r="ETL38" s="243"/>
      <c r="ETM38" s="10"/>
      <c r="ETN38" s="10"/>
      <c r="ETO38" s="239"/>
      <c r="ETW38" s="241"/>
      <c r="ETX38" s="242"/>
      <c r="ETY38" s="243"/>
      <c r="ETZ38" s="10"/>
      <c r="EUA38" s="10"/>
      <c r="EUB38" s="239"/>
      <c r="EUJ38" s="241"/>
      <c r="EUK38" s="242"/>
      <c r="EUL38" s="243"/>
      <c r="EUM38" s="10"/>
      <c r="EUN38" s="10"/>
      <c r="EUO38" s="239"/>
      <c r="EUW38" s="241"/>
      <c r="EUX38" s="242"/>
      <c r="EUY38" s="243"/>
      <c r="EUZ38" s="10"/>
      <c r="EVA38" s="10"/>
      <c r="EVB38" s="239"/>
      <c r="EVJ38" s="241"/>
      <c r="EVK38" s="242"/>
      <c r="EVL38" s="243"/>
      <c r="EVM38" s="10"/>
      <c r="EVN38" s="10"/>
      <c r="EVO38" s="239"/>
      <c r="EVW38" s="241"/>
      <c r="EVX38" s="242"/>
      <c r="EVY38" s="243"/>
      <c r="EVZ38" s="10"/>
      <c r="EWA38" s="10"/>
      <c r="EWB38" s="239"/>
      <c r="EWJ38" s="241"/>
      <c r="EWK38" s="242"/>
      <c r="EWL38" s="243"/>
      <c r="EWM38" s="10"/>
      <c r="EWN38" s="10"/>
      <c r="EWO38" s="239"/>
      <c r="EWW38" s="241"/>
      <c r="EWX38" s="242"/>
      <c r="EWY38" s="243"/>
      <c r="EWZ38" s="10"/>
      <c r="EXA38" s="10"/>
      <c r="EXB38" s="239"/>
      <c r="EXJ38" s="241"/>
      <c r="EXK38" s="242"/>
      <c r="EXL38" s="243"/>
      <c r="EXM38" s="10"/>
      <c r="EXN38" s="10"/>
      <c r="EXO38" s="239"/>
      <c r="EXW38" s="241"/>
      <c r="EXX38" s="242"/>
      <c r="EXY38" s="243"/>
      <c r="EXZ38" s="10"/>
      <c r="EYA38" s="10"/>
      <c r="EYB38" s="239"/>
      <c r="EYJ38" s="241"/>
      <c r="EYK38" s="242"/>
      <c r="EYL38" s="243"/>
      <c r="EYM38" s="10"/>
      <c r="EYN38" s="10"/>
      <c r="EYO38" s="239"/>
      <c r="EYW38" s="241"/>
      <c r="EYX38" s="242"/>
      <c r="EYY38" s="243"/>
      <c r="EYZ38" s="10"/>
      <c r="EZA38" s="10"/>
      <c r="EZB38" s="239"/>
      <c r="EZJ38" s="241"/>
      <c r="EZK38" s="242"/>
      <c r="EZL38" s="243"/>
      <c r="EZM38" s="10"/>
      <c r="EZN38" s="10"/>
      <c r="EZO38" s="239"/>
      <c r="EZW38" s="241"/>
      <c r="EZX38" s="242"/>
      <c r="EZY38" s="243"/>
      <c r="EZZ38" s="10"/>
      <c r="FAA38" s="10"/>
      <c r="FAB38" s="239"/>
      <c r="FAJ38" s="241"/>
      <c r="FAK38" s="242"/>
      <c r="FAL38" s="243"/>
      <c r="FAM38" s="10"/>
      <c r="FAN38" s="10"/>
      <c r="FAO38" s="239"/>
      <c r="FAW38" s="241"/>
      <c r="FAX38" s="242"/>
      <c r="FAY38" s="243"/>
      <c r="FAZ38" s="10"/>
      <c r="FBA38" s="10"/>
      <c r="FBB38" s="239"/>
      <c r="FBJ38" s="241"/>
      <c r="FBK38" s="242"/>
      <c r="FBL38" s="243"/>
      <c r="FBM38" s="10"/>
      <c r="FBN38" s="10"/>
      <c r="FBO38" s="239"/>
      <c r="FBW38" s="241"/>
      <c r="FBX38" s="242"/>
      <c r="FBY38" s="243"/>
      <c r="FBZ38" s="10"/>
      <c r="FCA38" s="10"/>
      <c r="FCB38" s="239"/>
      <c r="FCJ38" s="241"/>
      <c r="FCK38" s="242"/>
      <c r="FCL38" s="243"/>
      <c r="FCM38" s="10"/>
      <c r="FCN38" s="10"/>
      <c r="FCO38" s="239"/>
      <c r="FCW38" s="241"/>
      <c r="FCX38" s="242"/>
      <c r="FCY38" s="243"/>
      <c r="FCZ38" s="10"/>
      <c r="FDA38" s="10"/>
      <c r="FDB38" s="239"/>
      <c r="FDJ38" s="241"/>
      <c r="FDK38" s="242"/>
      <c r="FDL38" s="243"/>
      <c r="FDM38" s="10"/>
      <c r="FDN38" s="10"/>
      <c r="FDO38" s="239"/>
      <c r="FDW38" s="241"/>
      <c r="FDX38" s="242"/>
      <c r="FDY38" s="243"/>
      <c r="FDZ38" s="10"/>
      <c r="FEA38" s="10"/>
      <c r="FEB38" s="239"/>
      <c r="FEJ38" s="241"/>
      <c r="FEK38" s="242"/>
      <c r="FEL38" s="243"/>
      <c r="FEM38" s="10"/>
      <c r="FEN38" s="10"/>
      <c r="FEO38" s="239"/>
      <c r="FEW38" s="241"/>
      <c r="FEX38" s="242"/>
      <c r="FEY38" s="243"/>
      <c r="FEZ38" s="10"/>
      <c r="FFA38" s="10"/>
      <c r="FFB38" s="239"/>
      <c r="FFJ38" s="241"/>
      <c r="FFK38" s="242"/>
      <c r="FFL38" s="243"/>
      <c r="FFM38" s="10"/>
      <c r="FFN38" s="10"/>
      <c r="FFO38" s="239"/>
      <c r="FFW38" s="241"/>
      <c r="FFX38" s="242"/>
      <c r="FFY38" s="243"/>
      <c r="FFZ38" s="10"/>
      <c r="FGA38" s="10"/>
      <c r="FGB38" s="239"/>
      <c r="FGJ38" s="241"/>
      <c r="FGK38" s="242"/>
      <c r="FGL38" s="243"/>
      <c r="FGM38" s="10"/>
      <c r="FGN38" s="10"/>
      <c r="FGO38" s="239"/>
      <c r="FGW38" s="241"/>
      <c r="FGX38" s="242"/>
      <c r="FGY38" s="243"/>
      <c r="FGZ38" s="10"/>
      <c r="FHA38" s="10"/>
      <c r="FHB38" s="239"/>
      <c r="FHJ38" s="241"/>
      <c r="FHK38" s="242"/>
      <c r="FHL38" s="243"/>
      <c r="FHM38" s="10"/>
      <c r="FHN38" s="10"/>
      <c r="FHO38" s="239"/>
      <c r="FHW38" s="241"/>
      <c r="FHX38" s="242"/>
      <c r="FHY38" s="243"/>
      <c r="FHZ38" s="10"/>
      <c r="FIA38" s="10"/>
      <c r="FIB38" s="239"/>
      <c r="FIJ38" s="241"/>
      <c r="FIK38" s="242"/>
      <c r="FIL38" s="243"/>
      <c r="FIM38" s="10"/>
      <c r="FIN38" s="10"/>
      <c r="FIO38" s="239"/>
      <c r="FIW38" s="241"/>
      <c r="FIX38" s="242"/>
      <c r="FIY38" s="243"/>
      <c r="FIZ38" s="10"/>
      <c r="FJA38" s="10"/>
      <c r="FJB38" s="239"/>
      <c r="FJJ38" s="241"/>
      <c r="FJK38" s="242"/>
      <c r="FJL38" s="243"/>
      <c r="FJM38" s="10"/>
      <c r="FJN38" s="10"/>
      <c r="FJO38" s="239"/>
      <c r="FJW38" s="241"/>
      <c r="FJX38" s="242"/>
      <c r="FJY38" s="243"/>
      <c r="FJZ38" s="10"/>
      <c r="FKA38" s="10"/>
      <c r="FKB38" s="239"/>
      <c r="FKJ38" s="241"/>
      <c r="FKK38" s="242"/>
      <c r="FKL38" s="243"/>
      <c r="FKM38" s="10"/>
      <c r="FKN38" s="10"/>
      <c r="FKO38" s="239"/>
      <c r="FKW38" s="241"/>
      <c r="FKX38" s="242"/>
      <c r="FKY38" s="243"/>
      <c r="FKZ38" s="10"/>
      <c r="FLA38" s="10"/>
      <c r="FLB38" s="239"/>
      <c r="FLJ38" s="241"/>
      <c r="FLK38" s="242"/>
      <c r="FLL38" s="243"/>
      <c r="FLM38" s="10"/>
      <c r="FLN38" s="10"/>
      <c r="FLO38" s="239"/>
      <c r="FLW38" s="241"/>
      <c r="FLX38" s="242"/>
      <c r="FLY38" s="243"/>
      <c r="FLZ38" s="10"/>
      <c r="FMA38" s="10"/>
      <c r="FMB38" s="239"/>
      <c r="FMJ38" s="241"/>
      <c r="FMK38" s="242"/>
      <c r="FML38" s="243"/>
      <c r="FMM38" s="10"/>
      <c r="FMN38" s="10"/>
      <c r="FMO38" s="239"/>
      <c r="FMW38" s="241"/>
      <c r="FMX38" s="242"/>
      <c r="FMY38" s="243"/>
      <c r="FMZ38" s="10"/>
      <c r="FNA38" s="10"/>
      <c r="FNB38" s="239"/>
      <c r="FNJ38" s="241"/>
      <c r="FNK38" s="242"/>
      <c r="FNL38" s="243"/>
      <c r="FNM38" s="10"/>
      <c r="FNN38" s="10"/>
      <c r="FNO38" s="239"/>
      <c r="FNW38" s="241"/>
      <c r="FNX38" s="242"/>
      <c r="FNY38" s="243"/>
      <c r="FNZ38" s="10"/>
      <c r="FOA38" s="10"/>
      <c r="FOB38" s="239"/>
      <c r="FOJ38" s="241"/>
      <c r="FOK38" s="242"/>
      <c r="FOL38" s="243"/>
      <c r="FOM38" s="10"/>
      <c r="FON38" s="10"/>
      <c r="FOO38" s="239"/>
      <c r="FOW38" s="241"/>
      <c r="FOX38" s="242"/>
      <c r="FOY38" s="243"/>
      <c r="FOZ38" s="10"/>
      <c r="FPA38" s="10"/>
      <c r="FPB38" s="239"/>
      <c r="FPJ38" s="241"/>
      <c r="FPK38" s="242"/>
      <c r="FPL38" s="243"/>
      <c r="FPM38" s="10"/>
      <c r="FPN38" s="10"/>
      <c r="FPO38" s="239"/>
      <c r="FPW38" s="241"/>
      <c r="FPX38" s="242"/>
      <c r="FPY38" s="243"/>
      <c r="FPZ38" s="10"/>
      <c r="FQA38" s="10"/>
      <c r="FQB38" s="239"/>
      <c r="FQJ38" s="241"/>
      <c r="FQK38" s="242"/>
      <c r="FQL38" s="243"/>
      <c r="FQM38" s="10"/>
      <c r="FQN38" s="10"/>
      <c r="FQO38" s="239"/>
      <c r="FQW38" s="241"/>
      <c r="FQX38" s="242"/>
      <c r="FQY38" s="243"/>
      <c r="FQZ38" s="10"/>
      <c r="FRA38" s="10"/>
      <c r="FRB38" s="239"/>
      <c r="FRJ38" s="241"/>
      <c r="FRK38" s="242"/>
      <c r="FRL38" s="243"/>
      <c r="FRM38" s="10"/>
      <c r="FRN38" s="10"/>
      <c r="FRO38" s="239"/>
      <c r="FRW38" s="241"/>
      <c r="FRX38" s="242"/>
      <c r="FRY38" s="243"/>
      <c r="FRZ38" s="10"/>
      <c r="FSA38" s="10"/>
      <c r="FSB38" s="239"/>
      <c r="FSJ38" s="241"/>
      <c r="FSK38" s="242"/>
      <c r="FSL38" s="243"/>
      <c r="FSM38" s="10"/>
      <c r="FSN38" s="10"/>
      <c r="FSO38" s="239"/>
      <c r="FSW38" s="241"/>
      <c r="FSX38" s="242"/>
      <c r="FSY38" s="243"/>
      <c r="FSZ38" s="10"/>
      <c r="FTA38" s="10"/>
      <c r="FTB38" s="239"/>
      <c r="FTJ38" s="241"/>
      <c r="FTK38" s="242"/>
      <c r="FTL38" s="243"/>
      <c r="FTM38" s="10"/>
      <c r="FTN38" s="10"/>
      <c r="FTO38" s="239"/>
      <c r="FTW38" s="241"/>
      <c r="FTX38" s="242"/>
      <c r="FTY38" s="243"/>
      <c r="FTZ38" s="10"/>
      <c r="FUA38" s="10"/>
      <c r="FUB38" s="239"/>
      <c r="FUJ38" s="241"/>
      <c r="FUK38" s="242"/>
      <c r="FUL38" s="243"/>
      <c r="FUM38" s="10"/>
      <c r="FUN38" s="10"/>
      <c r="FUO38" s="239"/>
      <c r="FUW38" s="241"/>
      <c r="FUX38" s="242"/>
      <c r="FUY38" s="243"/>
      <c r="FUZ38" s="10"/>
      <c r="FVA38" s="10"/>
      <c r="FVB38" s="239"/>
      <c r="FVJ38" s="241"/>
      <c r="FVK38" s="242"/>
      <c r="FVL38" s="243"/>
      <c r="FVM38" s="10"/>
      <c r="FVN38" s="10"/>
      <c r="FVO38" s="239"/>
      <c r="FVW38" s="241"/>
      <c r="FVX38" s="242"/>
      <c r="FVY38" s="243"/>
      <c r="FVZ38" s="10"/>
      <c r="FWA38" s="10"/>
      <c r="FWB38" s="239"/>
      <c r="FWJ38" s="241"/>
      <c r="FWK38" s="242"/>
      <c r="FWL38" s="243"/>
      <c r="FWM38" s="10"/>
      <c r="FWN38" s="10"/>
      <c r="FWO38" s="239"/>
      <c r="FWW38" s="241"/>
      <c r="FWX38" s="242"/>
      <c r="FWY38" s="243"/>
      <c r="FWZ38" s="10"/>
      <c r="FXA38" s="10"/>
      <c r="FXB38" s="239"/>
      <c r="FXJ38" s="241"/>
      <c r="FXK38" s="242"/>
      <c r="FXL38" s="243"/>
      <c r="FXM38" s="10"/>
      <c r="FXN38" s="10"/>
      <c r="FXO38" s="239"/>
      <c r="FXW38" s="241"/>
      <c r="FXX38" s="242"/>
      <c r="FXY38" s="243"/>
      <c r="FXZ38" s="10"/>
      <c r="FYA38" s="10"/>
      <c r="FYB38" s="239"/>
      <c r="FYJ38" s="241"/>
      <c r="FYK38" s="242"/>
      <c r="FYL38" s="243"/>
      <c r="FYM38" s="10"/>
      <c r="FYN38" s="10"/>
      <c r="FYO38" s="239"/>
      <c r="FYW38" s="241"/>
      <c r="FYX38" s="242"/>
      <c r="FYY38" s="243"/>
      <c r="FYZ38" s="10"/>
      <c r="FZA38" s="10"/>
      <c r="FZB38" s="239"/>
      <c r="FZJ38" s="241"/>
      <c r="FZK38" s="242"/>
      <c r="FZL38" s="243"/>
      <c r="FZM38" s="10"/>
      <c r="FZN38" s="10"/>
      <c r="FZO38" s="239"/>
      <c r="FZW38" s="241"/>
      <c r="FZX38" s="242"/>
      <c r="FZY38" s="243"/>
      <c r="FZZ38" s="10"/>
      <c r="GAA38" s="10"/>
      <c r="GAB38" s="239"/>
      <c r="GAJ38" s="241"/>
      <c r="GAK38" s="242"/>
      <c r="GAL38" s="243"/>
      <c r="GAM38" s="10"/>
      <c r="GAN38" s="10"/>
      <c r="GAO38" s="239"/>
      <c r="GAW38" s="241"/>
      <c r="GAX38" s="242"/>
      <c r="GAY38" s="243"/>
      <c r="GAZ38" s="10"/>
      <c r="GBA38" s="10"/>
      <c r="GBB38" s="239"/>
      <c r="GBJ38" s="241"/>
      <c r="GBK38" s="242"/>
      <c r="GBL38" s="243"/>
      <c r="GBM38" s="10"/>
      <c r="GBN38" s="10"/>
      <c r="GBO38" s="239"/>
      <c r="GBW38" s="241"/>
      <c r="GBX38" s="242"/>
      <c r="GBY38" s="243"/>
      <c r="GBZ38" s="10"/>
      <c r="GCA38" s="10"/>
      <c r="GCB38" s="239"/>
      <c r="GCJ38" s="241"/>
      <c r="GCK38" s="242"/>
      <c r="GCL38" s="243"/>
      <c r="GCM38" s="10"/>
      <c r="GCN38" s="10"/>
      <c r="GCO38" s="239"/>
      <c r="GCW38" s="241"/>
      <c r="GCX38" s="242"/>
      <c r="GCY38" s="243"/>
      <c r="GCZ38" s="10"/>
      <c r="GDA38" s="10"/>
      <c r="GDB38" s="239"/>
      <c r="GDJ38" s="241"/>
      <c r="GDK38" s="242"/>
      <c r="GDL38" s="243"/>
      <c r="GDM38" s="10"/>
      <c r="GDN38" s="10"/>
      <c r="GDO38" s="239"/>
      <c r="GDW38" s="241"/>
      <c r="GDX38" s="242"/>
      <c r="GDY38" s="243"/>
      <c r="GDZ38" s="10"/>
      <c r="GEA38" s="10"/>
      <c r="GEB38" s="239"/>
      <c r="GEJ38" s="241"/>
      <c r="GEK38" s="242"/>
      <c r="GEL38" s="243"/>
      <c r="GEM38" s="10"/>
      <c r="GEN38" s="10"/>
      <c r="GEO38" s="239"/>
      <c r="GEW38" s="241"/>
      <c r="GEX38" s="242"/>
      <c r="GEY38" s="243"/>
      <c r="GEZ38" s="10"/>
      <c r="GFA38" s="10"/>
      <c r="GFB38" s="239"/>
      <c r="GFJ38" s="241"/>
      <c r="GFK38" s="242"/>
      <c r="GFL38" s="243"/>
      <c r="GFM38" s="10"/>
      <c r="GFN38" s="10"/>
      <c r="GFO38" s="239"/>
      <c r="GFW38" s="241"/>
      <c r="GFX38" s="242"/>
      <c r="GFY38" s="243"/>
      <c r="GFZ38" s="10"/>
      <c r="GGA38" s="10"/>
      <c r="GGB38" s="239"/>
      <c r="GGJ38" s="241"/>
      <c r="GGK38" s="242"/>
      <c r="GGL38" s="243"/>
      <c r="GGM38" s="10"/>
      <c r="GGN38" s="10"/>
      <c r="GGO38" s="239"/>
      <c r="GGW38" s="241"/>
      <c r="GGX38" s="242"/>
      <c r="GGY38" s="243"/>
      <c r="GGZ38" s="10"/>
      <c r="GHA38" s="10"/>
      <c r="GHB38" s="239"/>
      <c r="GHJ38" s="241"/>
      <c r="GHK38" s="242"/>
      <c r="GHL38" s="243"/>
      <c r="GHM38" s="10"/>
      <c r="GHN38" s="10"/>
      <c r="GHO38" s="239"/>
      <c r="GHW38" s="241"/>
      <c r="GHX38" s="242"/>
      <c r="GHY38" s="243"/>
      <c r="GHZ38" s="10"/>
      <c r="GIA38" s="10"/>
      <c r="GIB38" s="239"/>
      <c r="GIJ38" s="241"/>
      <c r="GIK38" s="242"/>
      <c r="GIL38" s="243"/>
      <c r="GIM38" s="10"/>
      <c r="GIN38" s="10"/>
      <c r="GIO38" s="239"/>
      <c r="GIW38" s="241"/>
      <c r="GIX38" s="242"/>
      <c r="GIY38" s="243"/>
      <c r="GIZ38" s="10"/>
      <c r="GJA38" s="10"/>
      <c r="GJB38" s="239"/>
      <c r="GJJ38" s="241"/>
      <c r="GJK38" s="242"/>
      <c r="GJL38" s="243"/>
      <c r="GJM38" s="10"/>
      <c r="GJN38" s="10"/>
      <c r="GJO38" s="239"/>
      <c r="GJW38" s="241"/>
      <c r="GJX38" s="242"/>
      <c r="GJY38" s="243"/>
      <c r="GJZ38" s="10"/>
      <c r="GKA38" s="10"/>
      <c r="GKB38" s="239"/>
      <c r="GKJ38" s="241"/>
      <c r="GKK38" s="242"/>
      <c r="GKL38" s="243"/>
      <c r="GKM38" s="10"/>
      <c r="GKN38" s="10"/>
      <c r="GKO38" s="239"/>
      <c r="GKW38" s="241"/>
      <c r="GKX38" s="242"/>
      <c r="GKY38" s="243"/>
      <c r="GKZ38" s="10"/>
      <c r="GLA38" s="10"/>
      <c r="GLB38" s="239"/>
      <c r="GLJ38" s="241"/>
      <c r="GLK38" s="242"/>
      <c r="GLL38" s="243"/>
      <c r="GLM38" s="10"/>
      <c r="GLN38" s="10"/>
      <c r="GLO38" s="239"/>
      <c r="GLW38" s="241"/>
      <c r="GLX38" s="242"/>
      <c r="GLY38" s="243"/>
      <c r="GLZ38" s="10"/>
      <c r="GMA38" s="10"/>
      <c r="GMB38" s="239"/>
      <c r="GMJ38" s="241"/>
      <c r="GMK38" s="242"/>
      <c r="GML38" s="243"/>
      <c r="GMM38" s="10"/>
      <c r="GMN38" s="10"/>
      <c r="GMO38" s="239"/>
      <c r="GMW38" s="241"/>
      <c r="GMX38" s="242"/>
      <c r="GMY38" s="243"/>
      <c r="GMZ38" s="10"/>
      <c r="GNA38" s="10"/>
      <c r="GNB38" s="239"/>
      <c r="GNJ38" s="241"/>
      <c r="GNK38" s="242"/>
      <c r="GNL38" s="243"/>
      <c r="GNM38" s="10"/>
      <c r="GNN38" s="10"/>
      <c r="GNO38" s="239"/>
      <c r="GNW38" s="241"/>
      <c r="GNX38" s="242"/>
      <c r="GNY38" s="243"/>
      <c r="GNZ38" s="10"/>
      <c r="GOA38" s="10"/>
      <c r="GOB38" s="239"/>
      <c r="GOJ38" s="241"/>
      <c r="GOK38" s="242"/>
      <c r="GOL38" s="243"/>
      <c r="GOM38" s="10"/>
      <c r="GON38" s="10"/>
      <c r="GOO38" s="239"/>
      <c r="GOW38" s="241"/>
      <c r="GOX38" s="242"/>
      <c r="GOY38" s="243"/>
      <c r="GOZ38" s="10"/>
      <c r="GPA38" s="10"/>
      <c r="GPB38" s="239"/>
      <c r="GPJ38" s="241"/>
      <c r="GPK38" s="242"/>
      <c r="GPL38" s="243"/>
      <c r="GPM38" s="10"/>
      <c r="GPN38" s="10"/>
      <c r="GPO38" s="239"/>
      <c r="GPW38" s="241"/>
      <c r="GPX38" s="242"/>
      <c r="GPY38" s="243"/>
      <c r="GPZ38" s="10"/>
      <c r="GQA38" s="10"/>
      <c r="GQB38" s="239"/>
      <c r="GQJ38" s="241"/>
      <c r="GQK38" s="242"/>
      <c r="GQL38" s="243"/>
      <c r="GQM38" s="10"/>
      <c r="GQN38" s="10"/>
      <c r="GQO38" s="239"/>
      <c r="GQW38" s="241"/>
      <c r="GQX38" s="242"/>
      <c r="GQY38" s="243"/>
      <c r="GQZ38" s="10"/>
      <c r="GRA38" s="10"/>
      <c r="GRB38" s="239"/>
      <c r="GRJ38" s="241"/>
      <c r="GRK38" s="242"/>
      <c r="GRL38" s="243"/>
      <c r="GRM38" s="10"/>
      <c r="GRN38" s="10"/>
      <c r="GRO38" s="239"/>
      <c r="GRW38" s="241"/>
      <c r="GRX38" s="242"/>
      <c r="GRY38" s="243"/>
      <c r="GRZ38" s="10"/>
      <c r="GSA38" s="10"/>
      <c r="GSB38" s="239"/>
      <c r="GSJ38" s="241"/>
      <c r="GSK38" s="242"/>
      <c r="GSL38" s="243"/>
      <c r="GSM38" s="10"/>
      <c r="GSN38" s="10"/>
      <c r="GSO38" s="239"/>
      <c r="GSW38" s="241"/>
      <c r="GSX38" s="242"/>
      <c r="GSY38" s="243"/>
      <c r="GSZ38" s="10"/>
      <c r="GTA38" s="10"/>
      <c r="GTB38" s="239"/>
      <c r="GTJ38" s="241"/>
      <c r="GTK38" s="242"/>
      <c r="GTL38" s="243"/>
      <c r="GTM38" s="10"/>
      <c r="GTN38" s="10"/>
      <c r="GTO38" s="239"/>
      <c r="GTW38" s="241"/>
      <c r="GTX38" s="242"/>
      <c r="GTY38" s="243"/>
      <c r="GTZ38" s="10"/>
      <c r="GUA38" s="10"/>
      <c r="GUB38" s="239"/>
      <c r="GUJ38" s="241"/>
      <c r="GUK38" s="242"/>
      <c r="GUL38" s="243"/>
      <c r="GUM38" s="10"/>
      <c r="GUN38" s="10"/>
      <c r="GUO38" s="239"/>
      <c r="GUW38" s="241"/>
      <c r="GUX38" s="242"/>
      <c r="GUY38" s="243"/>
      <c r="GUZ38" s="10"/>
      <c r="GVA38" s="10"/>
      <c r="GVB38" s="239"/>
      <c r="GVJ38" s="241"/>
      <c r="GVK38" s="242"/>
      <c r="GVL38" s="243"/>
      <c r="GVM38" s="10"/>
      <c r="GVN38" s="10"/>
      <c r="GVO38" s="239"/>
      <c r="GVW38" s="241"/>
      <c r="GVX38" s="242"/>
      <c r="GVY38" s="243"/>
      <c r="GVZ38" s="10"/>
      <c r="GWA38" s="10"/>
      <c r="GWB38" s="239"/>
      <c r="GWJ38" s="241"/>
      <c r="GWK38" s="242"/>
      <c r="GWL38" s="243"/>
      <c r="GWM38" s="10"/>
      <c r="GWN38" s="10"/>
      <c r="GWO38" s="239"/>
      <c r="GWW38" s="241"/>
      <c r="GWX38" s="242"/>
      <c r="GWY38" s="243"/>
      <c r="GWZ38" s="10"/>
      <c r="GXA38" s="10"/>
      <c r="GXB38" s="239"/>
      <c r="GXJ38" s="241"/>
      <c r="GXK38" s="242"/>
      <c r="GXL38" s="243"/>
      <c r="GXM38" s="10"/>
      <c r="GXN38" s="10"/>
      <c r="GXO38" s="239"/>
      <c r="GXW38" s="241"/>
      <c r="GXX38" s="242"/>
      <c r="GXY38" s="243"/>
      <c r="GXZ38" s="10"/>
      <c r="GYA38" s="10"/>
      <c r="GYB38" s="239"/>
      <c r="GYJ38" s="241"/>
      <c r="GYK38" s="242"/>
      <c r="GYL38" s="243"/>
      <c r="GYM38" s="10"/>
      <c r="GYN38" s="10"/>
      <c r="GYO38" s="239"/>
      <c r="GYW38" s="241"/>
      <c r="GYX38" s="242"/>
      <c r="GYY38" s="243"/>
      <c r="GYZ38" s="10"/>
      <c r="GZA38" s="10"/>
      <c r="GZB38" s="239"/>
      <c r="GZJ38" s="241"/>
      <c r="GZK38" s="242"/>
      <c r="GZL38" s="243"/>
      <c r="GZM38" s="10"/>
      <c r="GZN38" s="10"/>
      <c r="GZO38" s="239"/>
      <c r="GZW38" s="241"/>
      <c r="GZX38" s="242"/>
      <c r="GZY38" s="243"/>
      <c r="GZZ38" s="10"/>
      <c r="HAA38" s="10"/>
      <c r="HAB38" s="239"/>
      <c r="HAJ38" s="241"/>
      <c r="HAK38" s="242"/>
      <c r="HAL38" s="243"/>
      <c r="HAM38" s="10"/>
      <c r="HAN38" s="10"/>
      <c r="HAO38" s="239"/>
      <c r="HAW38" s="241"/>
      <c r="HAX38" s="242"/>
      <c r="HAY38" s="243"/>
      <c r="HAZ38" s="10"/>
      <c r="HBA38" s="10"/>
      <c r="HBB38" s="239"/>
      <c r="HBJ38" s="241"/>
      <c r="HBK38" s="242"/>
      <c r="HBL38" s="243"/>
      <c r="HBM38" s="10"/>
      <c r="HBN38" s="10"/>
      <c r="HBO38" s="239"/>
      <c r="HBW38" s="241"/>
      <c r="HBX38" s="242"/>
      <c r="HBY38" s="243"/>
      <c r="HBZ38" s="10"/>
      <c r="HCA38" s="10"/>
      <c r="HCB38" s="239"/>
      <c r="HCJ38" s="241"/>
      <c r="HCK38" s="242"/>
      <c r="HCL38" s="243"/>
      <c r="HCM38" s="10"/>
      <c r="HCN38" s="10"/>
      <c r="HCO38" s="239"/>
      <c r="HCW38" s="241"/>
      <c r="HCX38" s="242"/>
      <c r="HCY38" s="243"/>
      <c r="HCZ38" s="10"/>
      <c r="HDA38" s="10"/>
      <c r="HDB38" s="239"/>
      <c r="HDJ38" s="241"/>
      <c r="HDK38" s="242"/>
      <c r="HDL38" s="243"/>
      <c r="HDM38" s="10"/>
      <c r="HDN38" s="10"/>
      <c r="HDO38" s="239"/>
      <c r="HDW38" s="241"/>
      <c r="HDX38" s="242"/>
      <c r="HDY38" s="243"/>
      <c r="HDZ38" s="10"/>
      <c r="HEA38" s="10"/>
      <c r="HEB38" s="239"/>
      <c r="HEJ38" s="241"/>
      <c r="HEK38" s="242"/>
      <c r="HEL38" s="243"/>
      <c r="HEM38" s="10"/>
      <c r="HEN38" s="10"/>
      <c r="HEO38" s="239"/>
      <c r="HEW38" s="241"/>
      <c r="HEX38" s="242"/>
      <c r="HEY38" s="243"/>
      <c r="HEZ38" s="10"/>
      <c r="HFA38" s="10"/>
      <c r="HFB38" s="239"/>
      <c r="HFJ38" s="241"/>
      <c r="HFK38" s="242"/>
      <c r="HFL38" s="243"/>
      <c r="HFM38" s="10"/>
      <c r="HFN38" s="10"/>
      <c r="HFO38" s="239"/>
      <c r="HFW38" s="241"/>
      <c r="HFX38" s="242"/>
      <c r="HFY38" s="243"/>
      <c r="HFZ38" s="10"/>
      <c r="HGA38" s="10"/>
      <c r="HGB38" s="239"/>
      <c r="HGJ38" s="241"/>
      <c r="HGK38" s="242"/>
      <c r="HGL38" s="243"/>
      <c r="HGM38" s="10"/>
      <c r="HGN38" s="10"/>
      <c r="HGO38" s="239"/>
      <c r="HGW38" s="241"/>
      <c r="HGX38" s="242"/>
      <c r="HGY38" s="243"/>
      <c r="HGZ38" s="10"/>
      <c r="HHA38" s="10"/>
      <c r="HHB38" s="239"/>
      <c r="HHJ38" s="241"/>
      <c r="HHK38" s="242"/>
      <c r="HHL38" s="243"/>
      <c r="HHM38" s="10"/>
      <c r="HHN38" s="10"/>
      <c r="HHO38" s="239"/>
      <c r="HHW38" s="241"/>
      <c r="HHX38" s="242"/>
      <c r="HHY38" s="243"/>
      <c r="HHZ38" s="10"/>
      <c r="HIA38" s="10"/>
      <c r="HIB38" s="239"/>
      <c r="HIJ38" s="241"/>
      <c r="HIK38" s="242"/>
      <c r="HIL38" s="243"/>
      <c r="HIM38" s="10"/>
      <c r="HIN38" s="10"/>
      <c r="HIO38" s="239"/>
      <c r="HIW38" s="241"/>
      <c r="HIX38" s="242"/>
      <c r="HIY38" s="243"/>
      <c r="HIZ38" s="10"/>
      <c r="HJA38" s="10"/>
      <c r="HJB38" s="239"/>
      <c r="HJJ38" s="241"/>
      <c r="HJK38" s="242"/>
      <c r="HJL38" s="243"/>
      <c r="HJM38" s="10"/>
      <c r="HJN38" s="10"/>
      <c r="HJO38" s="239"/>
      <c r="HJW38" s="241"/>
      <c r="HJX38" s="242"/>
      <c r="HJY38" s="243"/>
      <c r="HJZ38" s="10"/>
      <c r="HKA38" s="10"/>
      <c r="HKB38" s="239"/>
      <c r="HKJ38" s="241"/>
      <c r="HKK38" s="242"/>
      <c r="HKL38" s="243"/>
      <c r="HKM38" s="10"/>
      <c r="HKN38" s="10"/>
      <c r="HKO38" s="239"/>
      <c r="HKW38" s="241"/>
      <c r="HKX38" s="242"/>
      <c r="HKY38" s="243"/>
      <c r="HKZ38" s="10"/>
      <c r="HLA38" s="10"/>
      <c r="HLB38" s="239"/>
      <c r="HLJ38" s="241"/>
      <c r="HLK38" s="242"/>
      <c r="HLL38" s="243"/>
      <c r="HLM38" s="10"/>
      <c r="HLN38" s="10"/>
      <c r="HLO38" s="239"/>
      <c r="HLW38" s="241"/>
      <c r="HLX38" s="242"/>
      <c r="HLY38" s="243"/>
      <c r="HLZ38" s="10"/>
      <c r="HMA38" s="10"/>
      <c r="HMB38" s="239"/>
      <c r="HMJ38" s="241"/>
      <c r="HMK38" s="242"/>
      <c r="HML38" s="243"/>
      <c r="HMM38" s="10"/>
      <c r="HMN38" s="10"/>
      <c r="HMO38" s="239"/>
      <c r="HMW38" s="241"/>
      <c r="HMX38" s="242"/>
      <c r="HMY38" s="243"/>
      <c r="HMZ38" s="10"/>
      <c r="HNA38" s="10"/>
      <c r="HNB38" s="239"/>
      <c r="HNJ38" s="241"/>
      <c r="HNK38" s="242"/>
      <c r="HNL38" s="243"/>
      <c r="HNM38" s="10"/>
      <c r="HNN38" s="10"/>
      <c r="HNO38" s="239"/>
      <c r="HNW38" s="241"/>
      <c r="HNX38" s="242"/>
      <c r="HNY38" s="243"/>
      <c r="HNZ38" s="10"/>
      <c r="HOA38" s="10"/>
      <c r="HOB38" s="239"/>
      <c r="HOJ38" s="241"/>
      <c r="HOK38" s="242"/>
      <c r="HOL38" s="243"/>
      <c r="HOM38" s="10"/>
      <c r="HON38" s="10"/>
      <c r="HOO38" s="239"/>
      <c r="HOW38" s="241"/>
      <c r="HOX38" s="242"/>
      <c r="HOY38" s="243"/>
      <c r="HOZ38" s="10"/>
      <c r="HPA38" s="10"/>
      <c r="HPB38" s="239"/>
      <c r="HPJ38" s="241"/>
      <c r="HPK38" s="242"/>
      <c r="HPL38" s="243"/>
      <c r="HPM38" s="10"/>
      <c r="HPN38" s="10"/>
      <c r="HPO38" s="239"/>
      <c r="HPW38" s="241"/>
      <c r="HPX38" s="242"/>
      <c r="HPY38" s="243"/>
      <c r="HPZ38" s="10"/>
      <c r="HQA38" s="10"/>
      <c r="HQB38" s="239"/>
      <c r="HQJ38" s="241"/>
      <c r="HQK38" s="242"/>
      <c r="HQL38" s="243"/>
      <c r="HQM38" s="10"/>
      <c r="HQN38" s="10"/>
      <c r="HQO38" s="239"/>
      <c r="HQW38" s="241"/>
      <c r="HQX38" s="242"/>
      <c r="HQY38" s="243"/>
      <c r="HQZ38" s="10"/>
      <c r="HRA38" s="10"/>
      <c r="HRB38" s="239"/>
      <c r="HRJ38" s="241"/>
      <c r="HRK38" s="242"/>
      <c r="HRL38" s="243"/>
      <c r="HRM38" s="10"/>
      <c r="HRN38" s="10"/>
      <c r="HRO38" s="239"/>
      <c r="HRW38" s="241"/>
      <c r="HRX38" s="242"/>
      <c r="HRY38" s="243"/>
      <c r="HRZ38" s="10"/>
      <c r="HSA38" s="10"/>
      <c r="HSB38" s="239"/>
      <c r="HSJ38" s="241"/>
      <c r="HSK38" s="242"/>
      <c r="HSL38" s="243"/>
      <c r="HSM38" s="10"/>
      <c r="HSN38" s="10"/>
      <c r="HSO38" s="239"/>
      <c r="HSW38" s="241"/>
      <c r="HSX38" s="242"/>
      <c r="HSY38" s="243"/>
      <c r="HSZ38" s="10"/>
      <c r="HTA38" s="10"/>
      <c r="HTB38" s="239"/>
      <c r="HTJ38" s="241"/>
      <c r="HTK38" s="242"/>
      <c r="HTL38" s="243"/>
      <c r="HTM38" s="10"/>
      <c r="HTN38" s="10"/>
      <c r="HTO38" s="239"/>
      <c r="HTW38" s="241"/>
      <c r="HTX38" s="242"/>
      <c r="HTY38" s="243"/>
      <c r="HTZ38" s="10"/>
      <c r="HUA38" s="10"/>
      <c r="HUB38" s="239"/>
      <c r="HUJ38" s="241"/>
      <c r="HUK38" s="242"/>
      <c r="HUL38" s="243"/>
      <c r="HUM38" s="10"/>
      <c r="HUN38" s="10"/>
      <c r="HUO38" s="239"/>
      <c r="HUW38" s="241"/>
      <c r="HUX38" s="242"/>
      <c r="HUY38" s="243"/>
      <c r="HUZ38" s="10"/>
      <c r="HVA38" s="10"/>
      <c r="HVB38" s="239"/>
      <c r="HVJ38" s="241"/>
      <c r="HVK38" s="242"/>
      <c r="HVL38" s="243"/>
      <c r="HVM38" s="10"/>
      <c r="HVN38" s="10"/>
      <c r="HVO38" s="239"/>
      <c r="HVW38" s="241"/>
      <c r="HVX38" s="242"/>
      <c r="HVY38" s="243"/>
      <c r="HVZ38" s="10"/>
      <c r="HWA38" s="10"/>
      <c r="HWB38" s="239"/>
      <c r="HWJ38" s="241"/>
      <c r="HWK38" s="242"/>
      <c r="HWL38" s="243"/>
      <c r="HWM38" s="10"/>
      <c r="HWN38" s="10"/>
      <c r="HWO38" s="239"/>
      <c r="HWW38" s="241"/>
      <c r="HWX38" s="242"/>
      <c r="HWY38" s="243"/>
      <c r="HWZ38" s="10"/>
      <c r="HXA38" s="10"/>
      <c r="HXB38" s="239"/>
      <c r="HXJ38" s="241"/>
      <c r="HXK38" s="242"/>
      <c r="HXL38" s="243"/>
      <c r="HXM38" s="10"/>
      <c r="HXN38" s="10"/>
      <c r="HXO38" s="239"/>
      <c r="HXW38" s="241"/>
      <c r="HXX38" s="242"/>
      <c r="HXY38" s="243"/>
      <c r="HXZ38" s="10"/>
      <c r="HYA38" s="10"/>
      <c r="HYB38" s="239"/>
      <c r="HYJ38" s="241"/>
      <c r="HYK38" s="242"/>
      <c r="HYL38" s="243"/>
      <c r="HYM38" s="10"/>
      <c r="HYN38" s="10"/>
      <c r="HYO38" s="239"/>
      <c r="HYW38" s="241"/>
      <c r="HYX38" s="242"/>
      <c r="HYY38" s="243"/>
      <c r="HYZ38" s="10"/>
      <c r="HZA38" s="10"/>
      <c r="HZB38" s="239"/>
      <c r="HZJ38" s="241"/>
      <c r="HZK38" s="242"/>
      <c r="HZL38" s="243"/>
      <c r="HZM38" s="10"/>
      <c r="HZN38" s="10"/>
      <c r="HZO38" s="239"/>
      <c r="HZW38" s="241"/>
      <c r="HZX38" s="242"/>
      <c r="HZY38" s="243"/>
      <c r="HZZ38" s="10"/>
      <c r="IAA38" s="10"/>
      <c r="IAB38" s="239"/>
      <c r="IAJ38" s="241"/>
      <c r="IAK38" s="242"/>
      <c r="IAL38" s="243"/>
      <c r="IAM38" s="10"/>
      <c r="IAN38" s="10"/>
      <c r="IAO38" s="239"/>
      <c r="IAW38" s="241"/>
      <c r="IAX38" s="242"/>
      <c r="IAY38" s="243"/>
      <c r="IAZ38" s="10"/>
      <c r="IBA38" s="10"/>
      <c r="IBB38" s="239"/>
      <c r="IBJ38" s="241"/>
      <c r="IBK38" s="242"/>
      <c r="IBL38" s="243"/>
      <c r="IBM38" s="10"/>
      <c r="IBN38" s="10"/>
      <c r="IBO38" s="239"/>
      <c r="IBW38" s="241"/>
      <c r="IBX38" s="242"/>
      <c r="IBY38" s="243"/>
      <c r="IBZ38" s="10"/>
      <c r="ICA38" s="10"/>
      <c r="ICB38" s="239"/>
      <c r="ICJ38" s="241"/>
      <c r="ICK38" s="242"/>
      <c r="ICL38" s="243"/>
      <c r="ICM38" s="10"/>
      <c r="ICN38" s="10"/>
      <c r="ICO38" s="239"/>
      <c r="ICW38" s="241"/>
      <c r="ICX38" s="242"/>
      <c r="ICY38" s="243"/>
      <c r="ICZ38" s="10"/>
      <c r="IDA38" s="10"/>
      <c r="IDB38" s="239"/>
      <c r="IDJ38" s="241"/>
      <c r="IDK38" s="242"/>
      <c r="IDL38" s="243"/>
      <c r="IDM38" s="10"/>
      <c r="IDN38" s="10"/>
      <c r="IDO38" s="239"/>
      <c r="IDW38" s="241"/>
      <c r="IDX38" s="242"/>
      <c r="IDY38" s="243"/>
      <c r="IDZ38" s="10"/>
      <c r="IEA38" s="10"/>
      <c r="IEB38" s="239"/>
      <c r="IEJ38" s="241"/>
      <c r="IEK38" s="242"/>
      <c r="IEL38" s="243"/>
      <c r="IEM38" s="10"/>
      <c r="IEN38" s="10"/>
      <c r="IEO38" s="239"/>
      <c r="IEW38" s="241"/>
      <c r="IEX38" s="242"/>
      <c r="IEY38" s="243"/>
      <c r="IEZ38" s="10"/>
      <c r="IFA38" s="10"/>
      <c r="IFB38" s="239"/>
      <c r="IFJ38" s="241"/>
      <c r="IFK38" s="242"/>
      <c r="IFL38" s="243"/>
      <c r="IFM38" s="10"/>
      <c r="IFN38" s="10"/>
      <c r="IFO38" s="239"/>
      <c r="IFW38" s="241"/>
      <c r="IFX38" s="242"/>
      <c r="IFY38" s="243"/>
      <c r="IFZ38" s="10"/>
      <c r="IGA38" s="10"/>
      <c r="IGB38" s="239"/>
      <c r="IGJ38" s="241"/>
      <c r="IGK38" s="242"/>
      <c r="IGL38" s="243"/>
      <c r="IGM38" s="10"/>
      <c r="IGN38" s="10"/>
      <c r="IGO38" s="239"/>
      <c r="IGW38" s="241"/>
      <c r="IGX38" s="242"/>
      <c r="IGY38" s="243"/>
      <c r="IGZ38" s="10"/>
      <c r="IHA38" s="10"/>
      <c r="IHB38" s="239"/>
      <c r="IHJ38" s="241"/>
      <c r="IHK38" s="242"/>
      <c r="IHL38" s="243"/>
      <c r="IHM38" s="10"/>
      <c r="IHN38" s="10"/>
      <c r="IHO38" s="239"/>
      <c r="IHW38" s="241"/>
      <c r="IHX38" s="242"/>
      <c r="IHY38" s="243"/>
      <c r="IHZ38" s="10"/>
      <c r="IIA38" s="10"/>
      <c r="IIB38" s="239"/>
      <c r="IIJ38" s="241"/>
      <c r="IIK38" s="242"/>
      <c r="IIL38" s="243"/>
      <c r="IIM38" s="10"/>
      <c r="IIN38" s="10"/>
      <c r="IIO38" s="239"/>
      <c r="IIW38" s="241"/>
      <c r="IIX38" s="242"/>
      <c r="IIY38" s="243"/>
      <c r="IIZ38" s="10"/>
      <c r="IJA38" s="10"/>
      <c r="IJB38" s="239"/>
      <c r="IJJ38" s="241"/>
      <c r="IJK38" s="242"/>
      <c r="IJL38" s="243"/>
      <c r="IJM38" s="10"/>
      <c r="IJN38" s="10"/>
      <c r="IJO38" s="239"/>
      <c r="IJW38" s="241"/>
      <c r="IJX38" s="242"/>
      <c r="IJY38" s="243"/>
      <c r="IJZ38" s="10"/>
      <c r="IKA38" s="10"/>
      <c r="IKB38" s="239"/>
      <c r="IKJ38" s="241"/>
      <c r="IKK38" s="242"/>
      <c r="IKL38" s="243"/>
      <c r="IKM38" s="10"/>
      <c r="IKN38" s="10"/>
      <c r="IKO38" s="239"/>
      <c r="IKW38" s="241"/>
      <c r="IKX38" s="242"/>
      <c r="IKY38" s="243"/>
      <c r="IKZ38" s="10"/>
      <c r="ILA38" s="10"/>
      <c r="ILB38" s="239"/>
      <c r="ILJ38" s="241"/>
      <c r="ILK38" s="242"/>
      <c r="ILL38" s="243"/>
      <c r="ILM38" s="10"/>
      <c r="ILN38" s="10"/>
      <c r="ILO38" s="239"/>
      <c r="ILW38" s="241"/>
      <c r="ILX38" s="242"/>
      <c r="ILY38" s="243"/>
      <c r="ILZ38" s="10"/>
      <c r="IMA38" s="10"/>
      <c r="IMB38" s="239"/>
      <c r="IMJ38" s="241"/>
      <c r="IMK38" s="242"/>
      <c r="IML38" s="243"/>
      <c r="IMM38" s="10"/>
      <c r="IMN38" s="10"/>
      <c r="IMO38" s="239"/>
      <c r="IMW38" s="241"/>
      <c r="IMX38" s="242"/>
      <c r="IMY38" s="243"/>
      <c r="IMZ38" s="10"/>
      <c r="INA38" s="10"/>
      <c r="INB38" s="239"/>
      <c r="INJ38" s="241"/>
      <c r="INK38" s="242"/>
      <c r="INL38" s="243"/>
      <c r="INM38" s="10"/>
      <c r="INN38" s="10"/>
      <c r="INO38" s="239"/>
      <c r="INW38" s="241"/>
      <c r="INX38" s="242"/>
      <c r="INY38" s="243"/>
      <c r="INZ38" s="10"/>
      <c r="IOA38" s="10"/>
      <c r="IOB38" s="239"/>
      <c r="IOJ38" s="241"/>
      <c r="IOK38" s="242"/>
      <c r="IOL38" s="243"/>
      <c r="IOM38" s="10"/>
      <c r="ION38" s="10"/>
      <c r="IOO38" s="239"/>
      <c r="IOW38" s="241"/>
      <c r="IOX38" s="242"/>
      <c r="IOY38" s="243"/>
      <c r="IOZ38" s="10"/>
      <c r="IPA38" s="10"/>
      <c r="IPB38" s="239"/>
      <c r="IPJ38" s="241"/>
      <c r="IPK38" s="242"/>
      <c r="IPL38" s="243"/>
      <c r="IPM38" s="10"/>
      <c r="IPN38" s="10"/>
      <c r="IPO38" s="239"/>
      <c r="IPW38" s="241"/>
      <c r="IPX38" s="242"/>
      <c r="IPY38" s="243"/>
      <c r="IPZ38" s="10"/>
      <c r="IQA38" s="10"/>
      <c r="IQB38" s="239"/>
      <c r="IQJ38" s="241"/>
      <c r="IQK38" s="242"/>
      <c r="IQL38" s="243"/>
      <c r="IQM38" s="10"/>
      <c r="IQN38" s="10"/>
      <c r="IQO38" s="239"/>
      <c r="IQW38" s="241"/>
      <c r="IQX38" s="242"/>
      <c r="IQY38" s="243"/>
      <c r="IQZ38" s="10"/>
      <c r="IRA38" s="10"/>
      <c r="IRB38" s="239"/>
      <c r="IRJ38" s="241"/>
      <c r="IRK38" s="242"/>
      <c r="IRL38" s="243"/>
      <c r="IRM38" s="10"/>
      <c r="IRN38" s="10"/>
      <c r="IRO38" s="239"/>
      <c r="IRW38" s="241"/>
      <c r="IRX38" s="242"/>
      <c r="IRY38" s="243"/>
      <c r="IRZ38" s="10"/>
      <c r="ISA38" s="10"/>
      <c r="ISB38" s="239"/>
      <c r="ISJ38" s="241"/>
      <c r="ISK38" s="242"/>
      <c r="ISL38" s="243"/>
      <c r="ISM38" s="10"/>
      <c r="ISN38" s="10"/>
      <c r="ISO38" s="239"/>
      <c r="ISW38" s="241"/>
      <c r="ISX38" s="242"/>
      <c r="ISY38" s="243"/>
      <c r="ISZ38" s="10"/>
      <c r="ITA38" s="10"/>
      <c r="ITB38" s="239"/>
      <c r="ITJ38" s="241"/>
      <c r="ITK38" s="242"/>
      <c r="ITL38" s="243"/>
      <c r="ITM38" s="10"/>
      <c r="ITN38" s="10"/>
      <c r="ITO38" s="239"/>
      <c r="ITW38" s="241"/>
      <c r="ITX38" s="242"/>
      <c r="ITY38" s="243"/>
      <c r="ITZ38" s="10"/>
      <c r="IUA38" s="10"/>
      <c r="IUB38" s="239"/>
      <c r="IUJ38" s="241"/>
      <c r="IUK38" s="242"/>
      <c r="IUL38" s="243"/>
      <c r="IUM38" s="10"/>
      <c r="IUN38" s="10"/>
      <c r="IUO38" s="239"/>
      <c r="IUW38" s="241"/>
      <c r="IUX38" s="242"/>
      <c r="IUY38" s="243"/>
      <c r="IUZ38" s="10"/>
      <c r="IVA38" s="10"/>
      <c r="IVB38" s="239"/>
      <c r="IVJ38" s="241"/>
      <c r="IVK38" s="242"/>
      <c r="IVL38" s="243"/>
      <c r="IVM38" s="10"/>
      <c r="IVN38" s="10"/>
      <c r="IVO38" s="239"/>
      <c r="IVW38" s="241"/>
      <c r="IVX38" s="242"/>
      <c r="IVY38" s="243"/>
      <c r="IVZ38" s="10"/>
      <c r="IWA38" s="10"/>
      <c r="IWB38" s="239"/>
      <c r="IWJ38" s="241"/>
      <c r="IWK38" s="242"/>
      <c r="IWL38" s="243"/>
      <c r="IWM38" s="10"/>
      <c r="IWN38" s="10"/>
      <c r="IWO38" s="239"/>
      <c r="IWW38" s="241"/>
      <c r="IWX38" s="242"/>
      <c r="IWY38" s="243"/>
      <c r="IWZ38" s="10"/>
      <c r="IXA38" s="10"/>
      <c r="IXB38" s="239"/>
      <c r="IXJ38" s="241"/>
      <c r="IXK38" s="242"/>
      <c r="IXL38" s="243"/>
      <c r="IXM38" s="10"/>
      <c r="IXN38" s="10"/>
      <c r="IXO38" s="239"/>
      <c r="IXW38" s="241"/>
      <c r="IXX38" s="242"/>
      <c r="IXY38" s="243"/>
      <c r="IXZ38" s="10"/>
      <c r="IYA38" s="10"/>
      <c r="IYB38" s="239"/>
      <c r="IYJ38" s="241"/>
      <c r="IYK38" s="242"/>
      <c r="IYL38" s="243"/>
      <c r="IYM38" s="10"/>
      <c r="IYN38" s="10"/>
      <c r="IYO38" s="239"/>
      <c r="IYW38" s="241"/>
      <c r="IYX38" s="242"/>
      <c r="IYY38" s="243"/>
      <c r="IYZ38" s="10"/>
      <c r="IZA38" s="10"/>
      <c r="IZB38" s="239"/>
      <c r="IZJ38" s="241"/>
      <c r="IZK38" s="242"/>
      <c r="IZL38" s="243"/>
      <c r="IZM38" s="10"/>
      <c r="IZN38" s="10"/>
      <c r="IZO38" s="239"/>
      <c r="IZW38" s="241"/>
      <c r="IZX38" s="242"/>
      <c r="IZY38" s="243"/>
      <c r="IZZ38" s="10"/>
      <c r="JAA38" s="10"/>
      <c r="JAB38" s="239"/>
      <c r="JAJ38" s="241"/>
      <c r="JAK38" s="242"/>
      <c r="JAL38" s="243"/>
      <c r="JAM38" s="10"/>
      <c r="JAN38" s="10"/>
      <c r="JAO38" s="239"/>
      <c r="JAW38" s="241"/>
      <c r="JAX38" s="242"/>
      <c r="JAY38" s="243"/>
      <c r="JAZ38" s="10"/>
      <c r="JBA38" s="10"/>
      <c r="JBB38" s="239"/>
      <c r="JBJ38" s="241"/>
      <c r="JBK38" s="242"/>
      <c r="JBL38" s="243"/>
      <c r="JBM38" s="10"/>
      <c r="JBN38" s="10"/>
      <c r="JBO38" s="239"/>
      <c r="JBW38" s="241"/>
      <c r="JBX38" s="242"/>
      <c r="JBY38" s="243"/>
      <c r="JBZ38" s="10"/>
      <c r="JCA38" s="10"/>
      <c r="JCB38" s="239"/>
      <c r="JCJ38" s="241"/>
      <c r="JCK38" s="242"/>
      <c r="JCL38" s="243"/>
      <c r="JCM38" s="10"/>
      <c r="JCN38" s="10"/>
      <c r="JCO38" s="239"/>
      <c r="JCW38" s="241"/>
      <c r="JCX38" s="242"/>
      <c r="JCY38" s="243"/>
      <c r="JCZ38" s="10"/>
      <c r="JDA38" s="10"/>
      <c r="JDB38" s="239"/>
      <c r="JDJ38" s="241"/>
      <c r="JDK38" s="242"/>
      <c r="JDL38" s="243"/>
      <c r="JDM38" s="10"/>
      <c r="JDN38" s="10"/>
      <c r="JDO38" s="239"/>
      <c r="JDW38" s="241"/>
      <c r="JDX38" s="242"/>
      <c r="JDY38" s="243"/>
      <c r="JDZ38" s="10"/>
      <c r="JEA38" s="10"/>
      <c r="JEB38" s="239"/>
      <c r="JEJ38" s="241"/>
      <c r="JEK38" s="242"/>
      <c r="JEL38" s="243"/>
      <c r="JEM38" s="10"/>
      <c r="JEN38" s="10"/>
      <c r="JEO38" s="239"/>
      <c r="JEW38" s="241"/>
      <c r="JEX38" s="242"/>
      <c r="JEY38" s="243"/>
      <c r="JEZ38" s="10"/>
      <c r="JFA38" s="10"/>
      <c r="JFB38" s="239"/>
      <c r="JFJ38" s="241"/>
      <c r="JFK38" s="242"/>
      <c r="JFL38" s="243"/>
      <c r="JFM38" s="10"/>
      <c r="JFN38" s="10"/>
      <c r="JFO38" s="239"/>
      <c r="JFW38" s="241"/>
      <c r="JFX38" s="242"/>
      <c r="JFY38" s="243"/>
      <c r="JFZ38" s="10"/>
      <c r="JGA38" s="10"/>
      <c r="JGB38" s="239"/>
      <c r="JGJ38" s="241"/>
      <c r="JGK38" s="242"/>
      <c r="JGL38" s="243"/>
      <c r="JGM38" s="10"/>
      <c r="JGN38" s="10"/>
      <c r="JGO38" s="239"/>
      <c r="JGW38" s="241"/>
      <c r="JGX38" s="242"/>
      <c r="JGY38" s="243"/>
      <c r="JGZ38" s="10"/>
      <c r="JHA38" s="10"/>
      <c r="JHB38" s="239"/>
      <c r="JHJ38" s="241"/>
      <c r="JHK38" s="242"/>
      <c r="JHL38" s="243"/>
      <c r="JHM38" s="10"/>
      <c r="JHN38" s="10"/>
      <c r="JHO38" s="239"/>
      <c r="JHW38" s="241"/>
      <c r="JHX38" s="242"/>
      <c r="JHY38" s="243"/>
      <c r="JHZ38" s="10"/>
      <c r="JIA38" s="10"/>
      <c r="JIB38" s="239"/>
      <c r="JIJ38" s="241"/>
      <c r="JIK38" s="242"/>
      <c r="JIL38" s="243"/>
      <c r="JIM38" s="10"/>
      <c r="JIN38" s="10"/>
      <c r="JIO38" s="239"/>
      <c r="JIW38" s="241"/>
      <c r="JIX38" s="242"/>
      <c r="JIY38" s="243"/>
      <c r="JIZ38" s="10"/>
      <c r="JJA38" s="10"/>
      <c r="JJB38" s="239"/>
      <c r="JJJ38" s="241"/>
      <c r="JJK38" s="242"/>
      <c r="JJL38" s="243"/>
      <c r="JJM38" s="10"/>
      <c r="JJN38" s="10"/>
      <c r="JJO38" s="239"/>
      <c r="JJW38" s="241"/>
      <c r="JJX38" s="242"/>
      <c r="JJY38" s="243"/>
      <c r="JJZ38" s="10"/>
      <c r="JKA38" s="10"/>
      <c r="JKB38" s="239"/>
      <c r="JKJ38" s="241"/>
      <c r="JKK38" s="242"/>
      <c r="JKL38" s="243"/>
      <c r="JKM38" s="10"/>
      <c r="JKN38" s="10"/>
      <c r="JKO38" s="239"/>
      <c r="JKW38" s="241"/>
      <c r="JKX38" s="242"/>
      <c r="JKY38" s="243"/>
      <c r="JKZ38" s="10"/>
      <c r="JLA38" s="10"/>
      <c r="JLB38" s="239"/>
      <c r="JLJ38" s="241"/>
      <c r="JLK38" s="242"/>
      <c r="JLL38" s="243"/>
      <c r="JLM38" s="10"/>
      <c r="JLN38" s="10"/>
      <c r="JLO38" s="239"/>
      <c r="JLW38" s="241"/>
      <c r="JLX38" s="242"/>
      <c r="JLY38" s="243"/>
      <c r="JLZ38" s="10"/>
      <c r="JMA38" s="10"/>
      <c r="JMB38" s="239"/>
      <c r="JMJ38" s="241"/>
      <c r="JMK38" s="242"/>
      <c r="JML38" s="243"/>
      <c r="JMM38" s="10"/>
      <c r="JMN38" s="10"/>
      <c r="JMO38" s="239"/>
      <c r="JMW38" s="241"/>
      <c r="JMX38" s="242"/>
      <c r="JMY38" s="243"/>
      <c r="JMZ38" s="10"/>
      <c r="JNA38" s="10"/>
      <c r="JNB38" s="239"/>
      <c r="JNJ38" s="241"/>
      <c r="JNK38" s="242"/>
      <c r="JNL38" s="243"/>
      <c r="JNM38" s="10"/>
      <c r="JNN38" s="10"/>
      <c r="JNO38" s="239"/>
      <c r="JNW38" s="241"/>
      <c r="JNX38" s="242"/>
      <c r="JNY38" s="243"/>
      <c r="JNZ38" s="10"/>
      <c r="JOA38" s="10"/>
      <c r="JOB38" s="239"/>
      <c r="JOJ38" s="241"/>
      <c r="JOK38" s="242"/>
      <c r="JOL38" s="243"/>
      <c r="JOM38" s="10"/>
      <c r="JON38" s="10"/>
      <c r="JOO38" s="239"/>
      <c r="JOW38" s="241"/>
      <c r="JOX38" s="242"/>
      <c r="JOY38" s="243"/>
      <c r="JOZ38" s="10"/>
      <c r="JPA38" s="10"/>
      <c r="JPB38" s="239"/>
      <c r="JPJ38" s="241"/>
      <c r="JPK38" s="242"/>
      <c r="JPL38" s="243"/>
      <c r="JPM38" s="10"/>
      <c r="JPN38" s="10"/>
      <c r="JPO38" s="239"/>
      <c r="JPW38" s="241"/>
      <c r="JPX38" s="242"/>
      <c r="JPY38" s="243"/>
      <c r="JPZ38" s="10"/>
      <c r="JQA38" s="10"/>
      <c r="JQB38" s="239"/>
      <c r="JQJ38" s="241"/>
      <c r="JQK38" s="242"/>
      <c r="JQL38" s="243"/>
      <c r="JQM38" s="10"/>
      <c r="JQN38" s="10"/>
      <c r="JQO38" s="239"/>
      <c r="JQW38" s="241"/>
      <c r="JQX38" s="242"/>
      <c r="JQY38" s="243"/>
      <c r="JQZ38" s="10"/>
      <c r="JRA38" s="10"/>
      <c r="JRB38" s="239"/>
      <c r="JRJ38" s="241"/>
      <c r="JRK38" s="242"/>
      <c r="JRL38" s="243"/>
      <c r="JRM38" s="10"/>
      <c r="JRN38" s="10"/>
      <c r="JRO38" s="239"/>
      <c r="JRW38" s="241"/>
      <c r="JRX38" s="242"/>
      <c r="JRY38" s="243"/>
      <c r="JRZ38" s="10"/>
      <c r="JSA38" s="10"/>
      <c r="JSB38" s="239"/>
      <c r="JSJ38" s="241"/>
      <c r="JSK38" s="242"/>
      <c r="JSL38" s="243"/>
      <c r="JSM38" s="10"/>
      <c r="JSN38" s="10"/>
      <c r="JSO38" s="239"/>
      <c r="JSW38" s="241"/>
      <c r="JSX38" s="242"/>
      <c r="JSY38" s="243"/>
      <c r="JSZ38" s="10"/>
      <c r="JTA38" s="10"/>
      <c r="JTB38" s="239"/>
      <c r="JTJ38" s="241"/>
      <c r="JTK38" s="242"/>
      <c r="JTL38" s="243"/>
      <c r="JTM38" s="10"/>
      <c r="JTN38" s="10"/>
      <c r="JTO38" s="239"/>
      <c r="JTW38" s="241"/>
      <c r="JTX38" s="242"/>
      <c r="JTY38" s="243"/>
      <c r="JTZ38" s="10"/>
      <c r="JUA38" s="10"/>
      <c r="JUB38" s="239"/>
      <c r="JUJ38" s="241"/>
      <c r="JUK38" s="242"/>
      <c r="JUL38" s="243"/>
      <c r="JUM38" s="10"/>
      <c r="JUN38" s="10"/>
      <c r="JUO38" s="239"/>
      <c r="JUW38" s="241"/>
      <c r="JUX38" s="242"/>
      <c r="JUY38" s="243"/>
      <c r="JUZ38" s="10"/>
      <c r="JVA38" s="10"/>
      <c r="JVB38" s="239"/>
      <c r="JVJ38" s="241"/>
      <c r="JVK38" s="242"/>
      <c r="JVL38" s="243"/>
      <c r="JVM38" s="10"/>
      <c r="JVN38" s="10"/>
      <c r="JVO38" s="239"/>
      <c r="JVW38" s="241"/>
      <c r="JVX38" s="242"/>
      <c r="JVY38" s="243"/>
      <c r="JVZ38" s="10"/>
      <c r="JWA38" s="10"/>
      <c r="JWB38" s="239"/>
      <c r="JWJ38" s="241"/>
      <c r="JWK38" s="242"/>
      <c r="JWL38" s="243"/>
      <c r="JWM38" s="10"/>
      <c r="JWN38" s="10"/>
      <c r="JWO38" s="239"/>
      <c r="JWW38" s="241"/>
      <c r="JWX38" s="242"/>
      <c r="JWY38" s="243"/>
      <c r="JWZ38" s="10"/>
      <c r="JXA38" s="10"/>
      <c r="JXB38" s="239"/>
      <c r="JXJ38" s="241"/>
      <c r="JXK38" s="242"/>
      <c r="JXL38" s="243"/>
      <c r="JXM38" s="10"/>
      <c r="JXN38" s="10"/>
      <c r="JXO38" s="239"/>
      <c r="JXW38" s="241"/>
      <c r="JXX38" s="242"/>
      <c r="JXY38" s="243"/>
      <c r="JXZ38" s="10"/>
      <c r="JYA38" s="10"/>
      <c r="JYB38" s="239"/>
      <c r="JYJ38" s="241"/>
      <c r="JYK38" s="242"/>
      <c r="JYL38" s="243"/>
      <c r="JYM38" s="10"/>
      <c r="JYN38" s="10"/>
      <c r="JYO38" s="239"/>
      <c r="JYW38" s="241"/>
      <c r="JYX38" s="242"/>
      <c r="JYY38" s="243"/>
      <c r="JYZ38" s="10"/>
      <c r="JZA38" s="10"/>
      <c r="JZB38" s="239"/>
      <c r="JZJ38" s="241"/>
      <c r="JZK38" s="242"/>
      <c r="JZL38" s="243"/>
      <c r="JZM38" s="10"/>
      <c r="JZN38" s="10"/>
      <c r="JZO38" s="239"/>
      <c r="JZW38" s="241"/>
      <c r="JZX38" s="242"/>
      <c r="JZY38" s="243"/>
      <c r="JZZ38" s="10"/>
      <c r="KAA38" s="10"/>
      <c r="KAB38" s="239"/>
      <c r="KAJ38" s="241"/>
      <c r="KAK38" s="242"/>
      <c r="KAL38" s="243"/>
      <c r="KAM38" s="10"/>
      <c r="KAN38" s="10"/>
      <c r="KAO38" s="239"/>
      <c r="KAW38" s="241"/>
      <c r="KAX38" s="242"/>
      <c r="KAY38" s="243"/>
      <c r="KAZ38" s="10"/>
      <c r="KBA38" s="10"/>
      <c r="KBB38" s="239"/>
      <c r="KBJ38" s="241"/>
      <c r="KBK38" s="242"/>
      <c r="KBL38" s="243"/>
      <c r="KBM38" s="10"/>
      <c r="KBN38" s="10"/>
      <c r="KBO38" s="239"/>
      <c r="KBW38" s="241"/>
      <c r="KBX38" s="242"/>
      <c r="KBY38" s="243"/>
      <c r="KBZ38" s="10"/>
      <c r="KCA38" s="10"/>
      <c r="KCB38" s="239"/>
      <c r="KCJ38" s="241"/>
      <c r="KCK38" s="242"/>
      <c r="KCL38" s="243"/>
      <c r="KCM38" s="10"/>
      <c r="KCN38" s="10"/>
      <c r="KCO38" s="239"/>
      <c r="KCW38" s="241"/>
      <c r="KCX38" s="242"/>
      <c r="KCY38" s="243"/>
      <c r="KCZ38" s="10"/>
      <c r="KDA38" s="10"/>
      <c r="KDB38" s="239"/>
      <c r="KDJ38" s="241"/>
      <c r="KDK38" s="242"/>
      <c r="KDL38" s="243"/>
      <c r="KDM38" s="10"/>
      <c r="KDN38" s="10"/>
      <c r="KDO38" s="239"/>
      <c r="KDW38" s="241"/>
      <c r="KDX38" s="242"/>
      <c r="KDY38" s="243"/>
      <c r="KDZ38" s="10"/>
      <c r="KEA38" s="10"/>
      <c r="KEB38" s="239"/>
      <c r="KEJ38" s="241"/>
      <c r="KEK38" s="242"/>
      <c r="KEL38" s="243"/>
      <c r="KEM38" s="10"/>
      <c r="KEN38" s="10"/>
      <c r="KEO38" s="239"/>
      <c r="KEW38" s="241"/>
      <c r="KEX38" s="242"/>
      <c r="KEY38" s="243"/>
      <c r="KEZ38" s="10"/>
      <c r="KFA38" s="10"/>
      <c r="KFB38" s="239"/>
      <c r="KFJ38" s="241"/>
      <c r="KFK38" s="242"/>
      <c r="KFL38" s="243"/>
      <c r="KFM38" s="10"/>
      <c r="KFN38" s="10"/>
      <c r="KFO38" s="239"/>
      <c r="KFW38" s="241"/>
      <c r="KFX38" s="242"/>
      <c r="KFY38" s="243"/>
      <c r="KFZ38" s="10"/>
      <c r="KGA38" s="10"/>
      <c r="KGB38" s="239"/>
      <c r="KGJ38" s="241"/>
      <c r="KGK38" s="242"/>
      <c r="KGL38" s="243"/>
      <c r="KGM38" s="10"/>
      <c r="KGN38" s="10"/>
      <c r="KGO38" s="239"/>
      <c r="KGW38" s="241"/>
      <c r="KGX38" s="242"/>
      <c r="KGY38" s="243"/>
      <c r="KGZ38" s="10"/>
      <c r="KHA38" s="10"/>
      <c r="KHB38" s="239"/>
      <c r="KHJ38" s="241"/>
      <c r="KHK38" s="242"/>
      <c r="KHL38" s="243"/>
      <c r="KHM38" s="10"/>
      <c r="KHN38" s="10"/>
      <c r="KHO38" s="239"/>
      <c r="KHW38" s="241"/>
      <c r="KHX38" s="242"/>
      <c r="KHY38" s="243"/>
      <c r="KHZ38" s="10"/>
      <c r="KIA38" s="10"/>
      <c r="KIB38" s="239"/>
      <c r="KIJ38" s="241"/>
      <c r="KIK38" s="242"/>
      <c r="KIL38" s="243"/>
      <c r="KIM38" s="10"/>
      <c r="KIN38" s="10"/>
      <c r="KIO38" s="239"/>
      <c r="KIW38" s="241"/>
      <c r="KIX38" s="242"/>
      <c r="KIY38" s="243"/>
      <c r="KIZ38" s="10"/>
      <c r="KJA38" s="10"/>
      <c r="KJB38" s="239"/>
      <c r="KJJ38" s="241"/>
      <c r="KJK38" s="242"/>
      <c r="KJL38" s="243"/>
      <c r="KJM38" s="10"/>
      <c r="KJN38" s="10"/>
      <c r="KJO38" s="239"/>
      <c r="KJW38" s="241"/>
      <c r="KJX38" s="242"/>
      <c r="KJY38" s="243"/>
      <c r="KJZ38" s="10"/>
      <c r="KKA38" s="10"/>
      <c r="KKB38" s="239"/>
      <c r="KKJ38" s="241"/>
      <c r="KKK38" s="242"/>
      <c r="KKL38" s="243"/>
      <c r="KKM38" s="10"/>
      <c r="KKN38" s="10"/>
      <c r="KKO38" s="239"/>
      <c r="KKW38" s="241"/>
      <c r="KKX38" s="242"/>
      <c r="KKY38" s="243"/>
      <c r="KKZ38" s="10"/>
      <c r="KLA38" s="10"/>
      <c r="KLB38" s="239"/>
      <c r="KLJ38" s="241"/>
      <c r="KLK38" s="242"/>
      <c r="KLL38" s="243"/>
      <c r="KLM38" s="10"/>
      <c r="KLN38" s="10"/>
      <c r="KLO38" s="239"/>
      <c r="KLW38" s="241"/>
      <c r="KLX38" s="242"/>
      <c r="KLY38" s="243"/>
      <c r="KLZ38" s="10"/>
      <c r="KMA38" s="10"/>
      <c r="KMB38" s="239"/>
      <c r="KMJ38" s="241"/>
      <c r="KMK38" s="242"/>
      <c r="KML38" s="243"/>
      <c r="KMM38" s="10"/>
      <c r="KMN38" s="10"/>
      <c r="KMO38" s="239"/>
      <c r="KMW38" s="241"/>
      <c r="KMX38" s="242"/>
      <c r="KMY38" s="243"/>
      <c r="KMZ38" s="10"/>
      <c r="KNA38" s="10"/>
      <c r="KNB38" s="239"/>
      <c r="KNJ38" s="241"/>
      <c r="KNK38" s="242"/>
      <c r="KNL38" s="243"/>
      <c r="KNM38" s="10"/>
      <c r="KNN38" s="10"/>
      <c r="KNO38" s="239"/>
      <c r="KNW38" s="241"/>
      <c r="KNX38" s="242"/>
      <c r="KNY38" s="243"/>
      <c r="KNZ38" s="10"/>
      <c r="KOA38" s="10"/>
      <c r="KOB38" s="239"/>
      <c r="KOJ38" s="241"/>
      <c r="KOK38" s="242"/>
      <c r="KOL38" s="243"/>
      <c r="KOM38" s="10"/>
      <c r="KON38" s="10"/>
      <c r="KOO38" s="239"/>
      <c r="KOW38" s="241"/>
      <c r="KOX38" s="242"/>
      <c r="KOY38" s="243"/>
      <c r="KOZ38" s="10"/>
      <c r="KPA38" s="10"/>
      <c r="KPB38" s="239"/>
      <c r="KPJ38" s="241"/>
      <c r="KPK38" s="242"/>
      <c r="KPL38" s="243"/>
      <c r="KPM38" s="10"/>
      <c r="KPN38" s="10"/>
      <c r="KPO38" s="239"/>
      <c r="KPW38" s="241"/>
      <c r="KPX38" s="242"/>
      <c r="KPY38" s="243"/>
      <c r="KPZ38" s="10"/>
      <c r="KQA38" s="10"/>
      <c r="KQB38" s="239"/>
      <c r="KQJ38" s="241"/>
      <c r="KQK38" s="242"/>
      <c r="KQL38" s="243"/>
      <c r="KQM38" s="10"/>
      <c r="KQN38" s="10"/>
      <c r="KQO38" s="239"/>
      <c r="KQW38" s="241"/>
      <c r="KQX38" s="242"/>
      <c r="KQY38" s="243"/>
      <c r="KQZ38" s="10"/>
      <c r="KRA38" s="10"/>
      <c r="KRB38" s="239"/>
      <c r="KRJ38" s="241"/>
      <c r="KRK38" s="242"/>
      <c r="KRL38" s="243"/>
      <c r="KRM38" s="10"/>
      <c r="KRN38" s="10"/>
      <c r="KRO38" s="239"/>
      <c r="KRW38" s="241"/>
      <c r="KRX38" s="242"/>
      <c r="KRY38" s="243"/>
      <c r="KRZ38" s="10"/>
      <c r="KSA38" s="10"/>
      <c r="KSB38" s="239"/>
      <c r="KSJ38" s="241"/>
      <c r="KSK38" s="242"/>
      <c r="KSL38" s="243"/>
      <c r="KSM38" s="10"/>
      <c r="KSN38" s="10"/>
      <c r="KSO38" s="239"/>
      <c r="KSW38" s="241"/>
      <c r="KSX38" s="242"/>
      <c r="KSY38" s="243"/>
      <c r="KSZ38" s="10"/>
      <c r="KTA38" s="10"/>
      <c r="KTB38" s="239"/>
      <c r="KTJ38" s="241"/>
      <c r="KTK38" s="242"/>
      <c r="KTL38" s="243"/>
      <c r="KTM38" s="10"/>
      <c r="KTN38" s="10"/>
      <c r="KTO38" s="239"/>
      <c r="KTW38" s="241"/>
      <c r="KTX38" s="242"/>
      <c r="KTY38" s="243"/>
      <c r="KTZ38" s="10"/>
      <c r="KUA38" s="10"/>
      <c r="KUB38" s="239"/>
      <c r="KUJ38" s="241"/>
      <c r="KUK38" s="242"/>
      <c r="KUL38" s="243"/>
      <c r="KUM38" s="10"/>
      <c r="KUN38" s="10"/>
      <c r="KUO38" s="239"/>
      <c r="KUW38" s="241"/>
      <c r="KUX38" s="242"/>
      <c r="KUY38" s="243"/>
      <c r="KUZ38" s="10"/>
      <c r="KVA38" s="10"/>
      <c r="KVB38" s="239"/>
      <c r="KVJ38" s="241"/>
      <c r="KVK38" s="242"/>
      <c r="KVL38" s="243"/>
      <c r="KVM38" s="10"/>
      <c r="KVN38" s="10"/>
      <c r="KVO38" s="239"/>
      <c r="KVW38" s="241"/>
      <c r="KVX38" s="242"/>
      <c r="KVY38" s="243"/>
      <c r="KVZ38" s="10"/>
      <c r="KWA38" s="10"/>
      <c r="KWB38" s="239"/>
      <c r="KWJ38" s="241"/>
      <c r="KWK38" s="242"/>
      <c r="KWL38" s="243"/>
      <c r="KWM38" s="10"/>
      <c r="KWN38" s="10"/>
      <c r="KWO38" s="239"/>
      <c r="KWW38" s="241"/>
      <c r="KWX38" s="242"/>
      <c r="KWY38" s="243"/>
      <c r="KWZ38" s="10"/>
      <c r="KXA38" s="10"/>
      <c r="KXB38" s="239"/>
      <c r="KXJ38" s="241"/>
      <c r="KXK38" s="242"/>
      <c r="KXL38" s="243"/>
      <c r="KXM38" s="10"/>
      <c r="KXN38" s="10"/>
      <c r="KXO38" s="239"/>
      <c r="KXW38" s="241"/>
      <c r="KXX38" s="242"/>
      <c r="KXY38" s="243"/>
      <c r="KXZ38" s="10"/>
      <c r="KYA38" s="10"/>
      <c r="KYB38" s="239"/>
      <c r="KYJ38" s="241"/>
      <c r="KYK38" s="242"/>
      <c r="KYL38" s="243"/>
      <c r="KYM38" s="10"/>
      <c r="KYN38" s="10"/>
      <c r="KYO38" s="239"/>
      <c r="KYW38" s="241"/>
      <c r="KYX38" s="242"/>
      <c r="KYY38" s="243"/>
      <c r="KYZ38" s="10"/>
      <c r="KZA38" s="10"/>
      <c r="KZB38" s="239"/>
      <c r="KZJ38" s="241"/>
      <c r="KZK38" s="242"/>
      <c r="KZL38" s="243"/>
      <c r="KZM38" s="10"/>
      <c r="KZN38" s="10"/>
      <c r="KZO38" s="239"/>
      <c r="KZW38" s="241"/>
      <c r="KZX38" s="242"/>
      <c r="KZY38" s="243"/>
      <c r="KZZ38" s="10"/>
      <c r="LAA38" s="10"/>
      <c r="LAB38" s="239"/>
      <c r="LAJ38" s="241"/>
      <c r="LAK38" s="242"/>
      <c r="LAL38" s="243"/>
      <c r="LAM38" s="10"/>
      <c r="LAN38" s="10"/>
      <c r="LAO38" s="239"/>
      <c r="LAW38" s="241"/>
      <c r="LAX38" s="242"/>
      <c r="LAY38" s="243"/>
      <c r="LAZ38" s="10"/>
      <c r="LBA38" s="10"/>
      <c r="LBB38" s="239"/>
      <c r="LBJ38" s="241"/>
      <c r="LBK38" s="242"/>
      <c r="LBL38" s="243"/>
      <c r="LBM38" s="10"/>
      <c r="LBN38" s="10"/>
      <c r="LBO38" s="239"/>
      <c r="LBW38" s="241"/>
      <c r="LBX38" s="242"/>
      <c r="LBY38" s="243"/>
      <c r="LBZ38" s="10"/>
      <c r="LCA38" s="10"/>
      <c r="LCB38" s="239"/>
      <c r="LCJ38" s="241"/>
      <c r="LCK38" s="242"/>
      <c r="LCL38" s="243"/>
      <c r="LCM38" s="10"/>
      <c r="LCN38" s="10"/>
      <c r="LCO38" s="239"/>
      <c r="LCW38" s="241"/>
      <c r="LCX38" s="242"/>
      <c r="LCY38" s="243"/>
      <c r="LCZ38" s="10"/>
      <c r="LDA38" s="10"/>
      <c r="LDB38" s="239"/>
      <c r="LDJ38" s="241"/>
      <c r="LDK38" s="242"/>
      <c r="LDL38" s="243"/>
      <c r="LDM38" s="10"/>
      <c r="LDN38" s="10"/>
      <c r="LDO38" s="239"/>
      <c r="LDW38" s="241"/>
      <c r="LDX38" s="242"/>
      <c r="LDY38" s="243"/>
      <c r="LDZ38" s="10"/>
      <c r="LEA38" s="10"/>
      <c r="LEB38" s="239"/>
      <c r="LEJ38" s="241"/>
      <c r="LEK38" s="242"/>
      <c r="LEL38" s="243"/>
      <c r="LEM38" s="10"/>
      <c r="LEN38" s="10"/>
      <c r="LEO38" s="239"/>
      <c r="LEW38" s="241"/>
      <c r="LEX38" s="242"/>
      <c r="LEY38" s="243"/>
      <c r="LEZ38" s="10"/>
      <c r="LFA38" s="10"/>
      <c r="LFB38" s="239"/>
      <c r="LFJ38" s="241"/>
      <c r="LFK38" s="242"/>
      <c r="LFL38" s="243"/>
      <c r="LFM38" s="10"/>
      <c r="LFN38" s="10"/>
      <c r="LFO38" s="239"/>
      <c r="LFW38" s="241"/>
      <c r="LFX38" s="242"/>
      <c r="LFY38" s="243"/>
      <c r="LFZ38" s="10"/>
      <c r="LGA38" s="10"/>
      <c r="LGB38" s="239"/>
      <c r="LGJ38" s="241"/>
      <c r="LGK38" s="242"/>
      <c r="LGL38" s="243"/>
      <c r="LGM38" s="10"/>
      <c r="LGN38" s="10"/>
      <c r="LGO38" s="239"/>
      <c r="LGW38" s="241"/>
      <c r="LGX38" s="242"/>
      <c r="LGY38" s="243"/>
      <c r="LGZ38" s="10"/>
      <c r="LHA38" s="10"/>
      <c r="LHB38" s="239"/>
      <c r="LHJ38" s="241"/>
      <c r="LHK38" s="242"/>
      <c r="LHL38" s="243"/>
      <c r="LHM38" s="10"/>
      <c r="LHN38" s="10"/>
      <c r="LHO38" s="239"/>
      <c r="LHW38" s="241"/>
      <c r="LHX38" s="242"/>
      <c r="LHY38" s="243"/>
      <c r="LHZ38" s="10"/>
      <c r="LIA38" s="10"/>
      <c r="LIB38" s="239"/>
      <c r="LIJ38" s="241"/>
      <c r="LIK38" s="242"/>
      <c r="LIL38" s="243"/>
      <c r="LIM38" s="10"/>
      <c r="LIN38" s="10"/>
      <c r="LIO38" s="239"/>
      <c r="LIW38" s="241"/>
      <c r="LIX38" s="242"/>
      <c r="LIY38" s="243"/>
      <c r="LIZ38" s="10"/>
      <c r="LJA38" s="10"/>
      <c r="LJB38" s="239"/>
      <c r="LJJ38" s="241"/>
      <c r="LJK38" s="242"/>
      <c r="LJL38" s="243"/>
      <c r="LJM38" s="10"/>
      <c r="LJN38" s="10"/>
      <c r="LJO38" s="239"/>
      <c r="LJW38" s="241"/>
      <c r="LJX38" s="242"/>
      <c r="LJY38" s="243"/>
      <c r="LJZ38" s="10"/>
      <c r="LKA38" s="10"/>
      <c r="LKB38" s="239"/>
      <c r="LKJ38" s="241"/>
      <c r="LKK38" s="242"/>
      <c r="LKL38" s="243"/>
      <c r="LKM38" s="10"/>
      <c r="LKN38" s="10"/>
      <c r="LKO38" s="239"/>
      <c r="LKW38" s="241"/>
      <c r="LKX38" s="242"/>
      <c r="LKY38" s="243"/>
      <c r="LKZ38" s="10"/>
      <c r="LLA38" s="10"/>
      <c r="LLB38" s="239"/>
      <c r="LLJ38" s="241"/>
      <c r="LLK38" s="242"/>
      <c r="LLL38" s="243"/>
      <c r="LLM38" s="10"/>
      <c r="LLN38" s="10"/>
      <c r="LLO38" s="239"/>
      <c r="LLW38" s="241"/>
      <c r="LLX38" s="242"/>
      <c r="LLY38" s="243"/>
      <c r="LLZ38" s="10"/>
      <c r="LMA38" s="10"/>
      <c r="LMB38" s="239"/>
      <c r="LMJ38" s="241"/>
      <c r="LMK38" s="242"/>
      <c r="LML38" s="243"/>
      <c r="LMM38" s="10"/>
      <c r="LMN38" s="10"/>
      <c r="LMO38" s="239"/>
      <c r="LMW38" s="241"/>
      <c r="LMX38" s="242"/>
      <c r="LMY38" s="243"/>
      <c r="LMZ38" s="10"/>
      <c r="LNA38" s="10"/>
      <c r="LNB38" s="239"/>
      <c r="LNJ38" s="241"/>
      <c r="LNK38" s="242"/>
      <c r="LNL38" s="243"/>
      <c r="LNM38" s="10"/>
      <c r="LNN38" s="10"/>
      <c r="LNO38" s="239"/>
      <c r="LNW38" s="241"/>
      <c r="LNX38" s="242"/>
      <c r="LNY38" s="243"/>
      <c r="LNZ38" s="10"/>
      <c r="LOA38" s="10"/>
      <c r="LOB38" s="239"/>
      <c r="LOJ38" s="241"/>
      <c r="LOK38" s="242"/>
      <c r="LOL38" s="243"/>
      <c r="LOM38" s="10"/>
      <c r="LON38" s="10"/>
      <c r="LOO38" s="239"/>
      <c r="LOW38" s="241"/>
      <c r="LOX38" s="242"/>
      <c r="LOY38" s="243"/>
      <c r="LOZ38" s="10"/>
      <c r="LPA38" s="10"/>
      <c r="LPB38" s="239"/>
      <c r="LPJ38" s="241"/>
      <c r="LPK38" s="242"/>
      <c r="LPL38" s="243"/>
      <c r="LPM38" s="10"/>
      <c r="LPN38" s="10"/>
      <c r="LPO38" s="239"/>
      <c r="LPW38" s="241"/>
      <c r="LPX38" s="242"/>
      <c r="LPY38" s="243"/>
      <c r="LPZ38" s="10"/>
      <c r="LQA38" s="10"/>
      <c r="LQB38" s="239"/>
      <c r="LQJ38" s="241"/>
      <c r="LQK38" s="242"/>
      <c r="LQL38" s="243"/>
      <c r="LQM38" s="10"/>
      <c r="LQN38" s="10"/>
      <c r="LQO38" s="239"/>
      <c r="LQW38" s="241"/>
      <c r="LQX38" s="242"/>
      <c r="LQY38" s="243"/>
      <c r="LQZ38" s="10"/>
      <c r="LRA38" s="10"/>
      <c r="LRB38" s="239"/>
      <c r="LRJ38" s="241"/>
      <c r="LRK38" s="242"/>
      <c r="LRL38" s="243"/>
      <c r="LRM38" s="10"/>
      <c r="LRN38" s="10"/>
      <c r="LRO38" s="239"/>
      <c r="LRW38" s="241"/>
      <c r="LRX38" s="242"/>
      <c r="LRY38" s="243"/>
      <c r="LRZ38" s="10"/>
      <c r="LSA38" s="10"/>
      <c r="LSB38" s="239"/>
      <c r="LSJ38" s="241"/>
      <c r="LSK38" s="242"/>
      <c r="LSL38" s="243"/>
      <c r="LSM38" s="10"/>
      <c r="LSN38" s="10"/>
      <c r="LSO38" s="239"/>
      <c r="LSW38" s="241"/>
      <c r="LSX38" s="242"/>
      <c r="LSY38" s="243"/>
      <c r="LSZ38" s="10"/>
      <c r="LTA38" s="10"/>
      <c r="LTB38" s="239"/>
      <c r="LTJ38" s="241"/>
      <c r="LTK38" s="242"/>
      <c r="LTL38" s="243"/>
      <c r="LTM38" s="10"/>
      <c r="LTN38" s="10"/>
      <c r="LTO38" s="239"/>
      <c r="LTW38" s="241"/>
      <c r="LTX38" s="242"/>
      <c r="LTY38" s="243"/>
      <c r="LTZ38" s="10"/>
      <c r="LUA38" s="10"/>
      <c r="LUB38" s="239"/>
      <c r="LUJ38" s="241"/>
      <c r="LUK38" s="242"/>
      <c r="LUL38" s="243"/>
      <c r="LUM38" s="10"/>
      <c r="LUN38" s="10"/>
      <c r="LUO38" s="239"/>
      <c r="LUW38" s="241"/>
      <c r="LUX38" s="242"/>
      <c r="LUY38" s="243"/>
      <c r="LUZ38" s="10"/>
      <c r="LVA38" s="10"/>
      <c r="LVB38" s="239"/>
      <c r="LVJ38" s="241"/>
      <c r="LVK38" s="242"/>
      <c r="LVL38" s="243"/>
      <c r="LVM38" s="10"/>
      <c r="LVN38" s="10"/>
      <c r="LVO38" s="239"/>
      <c r="LVW38" s="241"/>
      <c r="LVX38" s="242"/>
      <c r="LVY38" s="243"/>
      <c r="LVZ38" s="10"/>
      <c r="LWA38" s="10"/>
      <c r="LWB38" s="239"/>
      <c r="LWJ38" s="241"/>
      <c r="LWK38" s="242"/>
      <c r="LWL38" s="243"/>
      <c r="LWM38" s="10"/>
      <c r="LWN38" s="10"/>
      <c r="LWO38" s="239"/>
      <c r="LWW38" s="241"/>
      <c r="LWX38" s="242"/>
      <c r="LWY38" s="243"/>
      <c r="LWZ38" s="10"/>
      <c r="LXA38" s="10"/>
      <c r="LXB38" s="239"/>
      <c r="LXJ38" s="241"/>
      <c r="LXK38" s="242"/>
      <c r="LXL38" s="243"/>
      <c r="LXM38" s="10"/>
      <c r="LXN38" s="10"/>
      <c r="LXO38" s="239"/>
      <c r="LXW38" s="241"/>
      <c r="LXX38" s="242"/>
      <c r="LXY38" s="243"/>
      <c r="LXZ38" s="10"/>
      <c r="LYA38" s="10"/>
      <c r="LYB38" s="239"/>
      <c r="LYJ38" s="241"/>
      <c r="LYK38" s="242"/>
      <c r="LYL38" s="243"/>
      <c r="LYM38" s="10"/>
      <c r="LYN38" s="10"/>
      <c r="LYO38" s="239"/>
      <c r="LYW38" s="241"/>
      <c r="LYX38" s="242"/>
      <c r="LYY38" s="243"/>
      <c r="LYZ38" s="10"/>
      <c r="LZA38" s="10"/>
      <c r="LZB38" s="239"/>
      <c r="LZJ38" s="241"/>
      <c r="LZK38" s="242"/>
      <c r="LZL38" s="243"/>
      <c r="LZM38" s="10"/>
      <c r="LZN38" s="10"/>
      <c r="LZO38" s="239"/>
      <c r="LZW38" s="241"/>
      <c r="LZX38" s="242"/>
      <c r="LZY38" s="243"/>
      <c r="LZZ38" s="10"/>
      <c r="MAA38" s="10"/>
      <c r="MAB38" s="239"/>
      <c r="MAJ38" s="241"/>
      <c r="MAK38" s="242"/>
      <c r="MAL38" s="243"/>
      <c r="MAM38" s="10"/>
      <c r="MAN38" s="10"/>
      <c r="MAO38" s="239"/>
      <c r="MAW38" s="241"/>
      <c r="MAX38" s="242"/>
      <c r="MAY38" s="243"/>
      <c r="MAZ38" s="10"/>
      <c r="MBA38" s="10"/>
      <c r="MBB38" s="239"/>
      <c r="MBJ38" s="241"/>
      <c r="MBK38" s="242"/>
      <c r="MBL38" s="243"/>
      <c r="MBM38" s="10"/>
      <c r="MBN38" s="10"/>
      <c r="MBO38" s="239"/>
      <c r="MBW38" s="241"/>
      <c r="MBX38" s="242"/>
      <c r="MBY38" s="243"/>
      <c r="MBZ38" s="10"/>
      <c r="MCA38" s="10"/>
      <c r="MCB38" s="239"/>
      <c r="MCJ38" s="241"/>
      <c r="MCK38" s="242"/>
      <c r="MCL38" s="243"/>
      <c r="MCM38" s="10"/>
      <c r="MCN38" s="10"/>
      <c r="MCO38" s="239"/>
      <c r="MCW38" s="241"/>
      <c r="MCX38" s="242"/>
      <c r="MCY38" s="243"/>
      <c r="MCZ38" s="10"/>
      <c r="MDA38" s="10"/>
      <c r="MDB38" s="239"/>
      <c r="MDJ38" s="241"/>
      <c r="MDK38" s="242"/>
      <c r="MDL38" s="243"/>
      <c r="MDM38" s="10"/>
      <c r="MDN38" s="10"/>
      <c r="MDO38" s="239"/>
      <c r="MDW38" s="241"/>
      <c r="MDX38" s="242"/>
      <c r="MDY38" s="243"/>
      <c r="MDZ38" s="10"/>
      <c r="MEA38" s="10"/>
      <c r="MEB38" s="239"/>
      <c r="MEJ38" s="241"/>
      <c r="MEK38" s="242"/>
      <c r="MEL38" s="243"/>
      <c r="MEM38" s="10"/>
      <c r="MEN38" s="10"/>
      <c r="MEO38" s="239"/>
      <c r="MEW38" s="241"/>
      <c r="MEX38" s="242"/>
      <c r="MEY38" s="243"/>
      <c r="MEZ38" s="10"/>
      <c r="MFA38" s="10"/>
      <c r="MFB38" s="239"/>
      <c r="MFJ38" s="241"/>
      <c r="MFK38" s="242"/>
      <c r="MFL38" s="243"/>
      <c r="MFM38" s="10"/>
      <c r="MFN38" s="10"/>
      <c r="MFO38" s="239"/>
      <c r="MFW38" s="241"/>
      <c r="MFX38" s="242"/>
      <c r="MFY38" s="243"/>
      <c r="MFZ38" s="10"/>
      <c r="MGA38" s="10"/>
      <c r="MGB38" s="239"/>
      <c r="MGJ38" s="241"/>
      <c r="MGK38" s="242"/>
      <c r="MGL38" s="243"/>
      <c r="MGM38" s="10"/>
      <c r="MGN38" s="10"/>
      <c r="MGO38" s="239"/>
      <c r="MGW38" s="241"/>
      <c r="MGX38" s="242"/>
      <c r="MGY38" s="243"/>
      <c r="MGZ38" s="10"/>
      <c r="MHA38" s="10"/>
      <c r="MHB38" s="239"/>
      <c r="MHJ38" s="241"/>
      <c r="MHK38" s="242"/>
      <c r="MHL38" s="243"/>
      <c r="MHM38" s="10"/>
      <c r="MHN38" s="10"/>
      <c r="MHO38" s="239"/>
      <c r="MHW38" s="241"/>
      <c r="MHX38" s="242"/>
      <c r="MHY38" s="243"/>
      <c r="MHZ38" s="10"/>
      <c r="MIA38" s="10"/>
      <c r="MIB38" s="239"/>
      <c r="MIJ38" s="241"/>
      <c r="MIK38" s="242"/>
      <c r="MIL38" s="243"/>
      <c r="MIM38" s="10"/>
      <c r="MIN38" s="10"/>
      <c r="MIO38" s="239"/>
      <c r="MIW38" s="241"/>
      <c r="MIX38" s="242"/>
      <c r="MIY38" s="243"/>
      <c r="MIZ38" s="10"/>
      <c r="MJA38" s="10"/>
      <c r="MJB38" s="239"/>
      <c r="MJJ38" s="241"/>
      <c r="MJK38" s="242"/>
      <c r="MJL38" s="243"/>
      <c r="MJM38" s="10"/>
      <c r="MJN38" s="10"/>
      <c r="MJO38" s="239"/>
      <c r="MJW38" s="241"/>
      <c r="MJX38" s="242"/>
      <c r="MJY38" s="243"/>
      <c r="MJZ38" s="10"/>
      <c r="MKA38" s="10"/>
      <c r="MKB38" s="239"/>
      <c r="MKJ38" s="241"/>
      <c r="MKK38" s="242"/>
      <c r="MKL38" s="243"/>
      <c r="MKM38" s="10"/>
      <c r="MKN38" s="10"/>
      <c r="MKO38" s="239"/>
      <c r="MKW38" s="241"/>
      <c r="MKX38" s="242"/>
      <c r="MKY38" s="243"/>
      <c r="MKZ38" s="10"/>
      <c r="MLA38" s="10"/>
      <c r="MLB38" s="239"/>
      <c r="MLJ38" s="241"/>
      <c r="MLK38" s="242"/>
      <c r="MLL38" s="243"/>
      <c r="MLM38" s="10"/>
      <c r="MLN38" s="10"/>
      <c r="MLO38" s="239"/>
      <c r="MLW38" s="241"/>
      <c r="MLX38" s="242"/>
      <c r="MLY38" s="243"/>
      <c r="MLZ38" s="10"/>
      <c r="MMA38" s="10"/>
      <c r="MMB38" s="239"/>
      <c r="MMJ38" s="241"/>
      <c r="MMK38" s="242"/>
      <c r="MML38" s="243"/>
      <c r="MMM38" s="10"/>
      <c r="MMN38" s="10"/>
      <c r="MMO38" s="239"/>
      <c r="MMW38" s="241"/>
      <c r="MMX38" s="242"/>
      <c r="MMY38" s="243"/>
      <c r="MMZ38" s="10"/>
      <c r="MNA38" s="10"/>
      <c r="MNB38" s="239"/>
      <c r="MNJ38" s="241"/>
      <c r="MNK38" s="242"/>
      <c r="MNL38" s="243"/>
      <c r="MNM38" s="10"/>
      <c r="MNN38" s="10"/>
      <c r="MNO38" s="239"/>
      <c r="MNW38" s="241"/>
      <c r="MNX38" s="242"/>
      <c r="MNY38" s="243"/>
      <c r="MNZ38" s="10"/>
      <c r="MOA38" s="10"/>
      <c r="MOB38" s="239"/>
      <c r="MOJ38" s="241"/>
      <c r="MOK38" s="242"/>
      <c r="MOL38" s="243"/>
      <c r="MOM38" s="10"/>
      <c r="MON38" s="10"/>
      <c r="MOO38" s="239"/>
      <c r="MOW38" s="241"/>
      <c r="MOX38" s="242"/>
      <c r="MOY38" s="243"/>
      <c r="MOZ38" s="10"/>
      <c r="MPA38" s="10"/>
      <c r="MPB38" s="239"/>
      <c r="MPJ38" s="241"/>
      <c r="MPK38" s="242"/>
      <c r="MPL38" s="243"/>
      <c r="MPM38" s="10"/>
      <c r="MPN38" s="10"/>
      <c r="MPO38" s="239"/>
      <c r="MPW38" s="241"/>
      <c r="MPX38" s="242"/>
      <c r="MPY38" s="243"/>
      <c r="MPZ38" s="10"/>
      <c r="MQA38" s="10"/>
      <c r="MQB38" s="239"/>
      <c r="MQJ38" s="241"/>
      <c r="MQK38" s="242"/>
      <c r="MQL38" s="243"/>
      <c r="MQM38" s="10"/>
      <c r="MQN38" s="10"/>
      <c r="MQO38" s="239"/>
      <c r="MQW38" s="241"/>
      <c r="MQX38" s="242"/>
      <c r="MQY38" s="243"/>
      <c r="MQZ38" s="10"/>
      <c r="MRA38" s="10"/>
      <c r="MRB38" s="239"/>
      <c r="MRJ38" s="241"/>
      <c r="MRK38" s="242"/>
      <c r="MRL38" s="243"/>
      <c r="MRM38" s="10"/>
      <c r="MRN38" s="10"/>
      <c r="MRO38" s="239"/>
      <c r="MRW38" s="241"/>
      <c r="MRX38" s="242"/>
      <c r="MRY38" s="243"/>
      <c r="MRZ38" s="10"/>
      <c r="MSA38" s="10"/>
      <c r="MSB38" s="239"/>
      <c r="MSJ38" s="241"/>
      <c r="MSK38" s="242"/>
      <c r="MSL38" s="243"/>
      <c r="MSM38" s="10"/>
      <c r="MSN38" s="10"/>
      <c r="MSO38" s="239"/>
      <c r="MSW38" s="241"/>
      <c r="MSX38" s="242"/>
      <c r="MSY38" s="243"/>
      <c r="MSZ38" s="10"/>
      <c r="MTA38" s="10"/>
      <c r="MTB38" s="239"/>
      <c r="MTJ38" s="241"/>
      <c r="MTK38" s="242"/>
      <c r="MTL38" s="243"/>
      <c r="MTM38" s="10"/>
      <c r="MTN38" s="10"/>
      <c r="MTO38" s="239"/>
      <c r="MTW38" s="241"/>
      <c r="MTX38" s="242"/>
      <c r="MTY38" s="243"/>
      <c r="MTZ38" s="10"/>
      <c r="MUA38" s="10"/>
      <c r="MUB38" s="239"/>
      <c r="MUJ38" s="241"/>
      <c r="MUK38" s="242"/>
      <c r="MUL38" s="243"/>
      <c r="MUM38" s="10"/>
      <c r="MUN38" s="10"/>
      <c r="MUO38" s="239"/>
      <c r="MUW38" s="241"/>
      <c r="MUX38" s="242"/>
      <c r="MUY38" s="243"/>
      <c r="MUZ38" s="10"/>
      <c r="MVA38" s="10"/>
      <c r="MVB38" s="239"/>
      <c r="MVJ38" s="241"/>
      <c r="MVK38" s="242"/>
      <c r="MVL38" s="243"/>
      <c r="MVM38" s="10"/>
      <c r="MVN38" s="10"/>
      <c r="MVO38" s="239"/>
      <c r="MVW38" s="241"/>
      <c r="MVX38" s="242"/>
      <c r="MVY38" s="243"/>
      <c r="MVZ38" s="10"/>
      <c r="MWA38" s="10"/>
      <c r="MWB38" s="239"/>
      <c r="MWJ38" s="241"/>
      <c r="MWK38" s="242"/>
      <c r="MWL38" s="243"/>
      <c r="MWM38" s="10"/>
      <c r="MWN38" s="10"/>
      <c r="MWO38" s="239"/>
      <c r="MWW38" s="241"/>
      <c r="MWX38" s="242"/>
      <c r="MWY38" s="243"/>
      <c r="MWZ38" s="10"/>
      <c r="MXA38" s="10"/>
      <c r="MXB38" s="239"/>
      <c r="MXJ38" s="241"/>
      <c r="MXK38" s="242"/>
      <c r="MXL38" s="243"/>
      <c r="MXM38" s="10"/>
      <c r="MXN38" s="10"/>
      <c r="MXO38" s="239"/>
      <c r="MXW38" s="241"/>
      <c r="MXX38" s="242"/>
      <c r="MXY38" s="243"/>
      <c r="MXZ38" s="10"/>
      <c r="MYA38" s="10"/>
      <c r="MYB38" s="239"/>
      <c r="MYJ38" s="241"/>
      <c r="MYK38" s="242"/>
      <c r="MYL38" s="243"/>
      <c r="MYM38" s="10"/>
      <c r="MYN38" s="10"/>
      <c r="MYO38" s="239"/>
      <c r="MYW38" s="241"/>
      <c r="MYX38" s="242"/>
      <c r="MYY38" s="243"/>
      <c r="MYZ38" s="10"/>
      <c r="MZA38" s="10"/>
      <c r="MZB38" s="239"/>
      <c r="MZJ38" s="241"/>
      <c r="MZK38" s="242"/>
      <c r="MZL38" s="243"/>
      <c r="MZM38" s="10"/>
      <c r="MZN38" s="10"/>
      <c r="MZO38" s="239"/>
      <c r="MZW38" s="241"/>
      <c r="MZX38" s="242"/>
      <c r="MZY38" s="243"/>
      <c r="MZZ38" s="10"/>
      <c r="NAA38" s="10"/>
      <c r="NAB38" s="239"/>
      <c r="NAJ38" s="241"/>
      <c r="NAK38" s="242"/>
      <c r="NAL38" s="243"/>
      <c r="NAM38" s="10"/>
      <c r="NAN38" s="10"/>
      <c r="NAO38" s="239"/>
      <c r="NAW38" s="241"/>
      <c r="NAX38" s="242"/>
      <c r="NAY38" s="243"/>
      <c r="NAZ38" s="10"/>
      <c r="NBA38" s="10"/>
      <c r="NBB38" s="239"/>
      <c r="NBJ38" s="241"/>
      <c r="NBK38" s="242"/>
      <c r="NBL38" s="243"/>
      <c r="NBM38" s="10"/>
      <c r="NBN38" s="10"/>
      <c r="NBO38" s="239"/>
      <c r="NBW38" s="241"/>
      <c r="NBX38" s="242"/>
      <c r="NBY38" s="243"/>
      <c r="NBZ38" s="10"/>
      <c r="NCA38" s="10"/>
      <c r="NCB38" s="239"/>
      <c r="NCJ38" s="241"/>
      <c r="NCK38" s="242"/>
      <c r="NCL38" s="243"/>
      <c r="NCM38" s="10"/>
      <c r="NCN38" s="10"/>
      <c r="NCO38" s="239"/>
      <c r="NCW38" s="241"/>
      <c r="NCX38" s="242"/>
      <c r="NCY38" s="243"/>
      <c r="NCZ38" s="10"/>
      <c r="NDA38" s="10"/>
      <c r="NDB38" s="239"/>
      <c r="NDJ38" s="241"/>
      <c r="NDK38" s="242"/>
      <c r="NDL38" s="243"/>
      <c r="NDM38" s="10"/>
      <c r="NDN38" s="10"/>
      <c r="NDO38" s="239"/>
      <c r="NDW38" s="241"/>
      <c r="NDX38" s="242"/>
      <c r="NDY38" s="243"/>
      <c r="NDZ38" s="10"/>
      <c r="NEA38" s="10"/>
      <c r="NEB38" s="239"/>
      <c r="NEJ38" s="241"/>
      <c r="NEK38" s="242"/>
      <c r="NEL38" s="243"/>
      <c r="NEM38" s="10"/>
      <c r="NEN38" s="10"/>
      <c r="NEO38" s="239"/>
      <c r="NEW38" s="241"/>
      <c r="NEX38" s="242"/>
      <c r="NEY38" s="243"/>
      <c r="NEZ38" s="10"/>
      <c r="NFA38" s="10"/>
      <c r="NFB38" s="239"/>
      <c r="NFJ38" s="241"/>
      <c r="NFK38" s="242"/>
      <c r="NFL38" s="243"/>
      <c r="NFM38" s="10"/>
      <c r="NFN38" s="10"/>
      <c r="NFO38" s="239"/>
      <c r="NFW38" s="241"/>
      <c r="NFX38" s="242"/>
      <c r="NFY38" s="243"/>
      <c r="NFZ38" s="10"/>
      <c r="NGA38" s="10"/>
      <c r="NGB38" s="239"/>
      <c r="NGJ38" s="241"/>
      <c r="NGK38" s="242"/>
      <c r="NGL38" s="243"/>
      <c r="NGM38" s="10"/>
      <c r="NGN38" s="10"/>
      <c r="NGO38" s="239"/>
      <c r="NGW38" s="241"/>
      <c r="NGX38" s="242"/>
      <c r="NGY38" s="243"/>
      <c r="NGZ38" s="10"/>
      <c r="NHA38" s="10"/>
      <c r="NHB38" s="239"/>
      <c r="NHJ38" s="241"/>
      <c r="NHK38" s="242"/>
      <c r="NHL38" s="243"/>
      <c r="NHM38" s="10"/>
      <c r="NHN38" s="10"/>
      <c r="NHO38" s="239"/>
      <c r="NHW38" s="241"/>
      <c r="NHX38" s="242"/>
      <c r="NHY38" s="243"/>
      <c r="NHZ38" s="10"/>
      <c r="NIA38" s="10"/>
      <c r="NIB38" s="239"/>
      <c r="NIJ38" s="241"/>
      <c r="NIK38" s="242"/>
      <c r="NIL38" s="243"/>
      <c r="NIM38" s="10"/>
      <c r="NIN38" s="10"/>
      <c r="NIO38" s="239"/>
      <c r="NIW38" s="241"/>
      <c r="NIX38" s="242"/>
      <c r="NIY38" s="243"/>
      <c r="NIZ38" s="10"/>
      <c r="NJA38" s="10"/>
      <c r="NJB38" s="239"/>
      <c r="NJJ38" s="241"/>
      <c r="NJK38" s="242"/>
      <c r="NJL38" s="243"/>
      <c r="NJM38" s="10"/>
      <c r="NJN38" s="10"/>
      <c r="NJO38" s="239"/>
      <c r="NJW38" s="241"/>
      <c r="NJX38" s="242"/>
      <c r="NJY38" s="243"/>
      <c r="NJZ38" s="10"/>
      <c r="NKA38" s="10"/>
      <c r="NKB38" s="239"/>
      <c r="NKJ38" s="241"/>
      <c r="NKK38" s="242"/>
      <c r="NKL38" s="243"/>
      <c r="NKM38" s="10"/>
      <c r="NKN38" s="10"/>
      <c r="NKO38" s="239"/>
      <c r="NKW38" s="241"/>
      <c r="NKX38" s="242"/>
      <c r="NKY38" s="243"/>
      <c r="NKZ38" s="10"/>
      <c r="NLA38" s="10"/>
      <c r="NLB38" s="239"/>
      <c r="NLJ38" s="241"/>
      <c r="NLK38" s="242"/>
      <c r="NLL38" s="243"/>
      <c r="NLM38" s="10"/>
      <c r="NLN38" s="10"/>
      <c r="NLO38" s="239"/>
      <c r="NLW38" s="241"/>
      <c r="NLX38" s="242"/>
      <c r="NLY38" s="243"/>
      <c r="NLZ38" s="10"/>
      <c r="NMA38" s="10"/>
      <c r="NMB38" s="239"/>
      <c r="NMJ38" s="241"/>
      <c r="NMK38" s="242"/>
      <c r="NML38" s="243"/>
      <c r="NMM38" s="10"/>
      <c r="NMN38" s="10"/>
      <c r="NMO38" s="239"/>
      <c r="NMW38" s="241"/>
      <c r="NMX38" s="242"/>
      <c r="NMY38" s="243"/>
      <c r="NMZ38" s="10"/>
      <c r="NNA38" s="10"/>
      <c r="NNB38" s="239"/>
      <c r="NNJ38" s="241"/>
      <c r="NNK38" s="242"/>
      <c r="NNL38" s="243"/>
      <c r="NNM38" s="10"/>
      <c r="NNN38" s="10"/>
      <c r="NNO38" s="239"/>
      <c r="NNW38" s="241"/>
      <c r="NNX38" s="242"/>
      <c r="NNY38" s="243"/>
      <c r="NNZ38" s="10"/>
      <c r="NOA38" s="10"/>
      <c r="NOB38" s="239"/>
      <c r="NOJ38" s="241"/>
      <c r="NOK38" s="242"/>
      <c r="NOL38" s="243"/>
      <c r="NOM38" s="10"/>
      <c r="NON38" s="10"/>
      <c r="NOO38" s="239"/>
      <c r="NOW38" s="241"/>
      <c r="NOX38" s="242"/>
      <c r="NOY38" s="243"/>
      <c r="NOZ38" s="10"/>
      <c r="NPA38" s="10"/>
      <c r="NPB38" s="239"/>
      <c r="NPJ38" s="241"/>
      <c r="NPK38" s="242"/>
      <c r="NPL38" s="243"/>
      <c r="NPM38" s="10"/>
      <c r="NPN38" s="10"/>
      <c r="NPO38" s="239"/>
      <c r="NPW38" s="241"/>
      <c r="NPX38" s="242"/>
      <c r="NPY38" s="243"/>
      <c r="NPZ38" s="10"/>
      <c r="NQA38" s="10"/>
      <c r="NQB38" s="239"/>
      <c r="NQJ38" s="241"/>
      <c r="NQK38" s="242"/>
      <c r="NQL38" s="243"/>
      <c r="NQM38" s="10"/>
      <c r="NQN38" s="10"/>
      <c r="NQO38" s="239"/>
      <c r="NQW38" s="241"/>
      <c r="NQX38" s="242"/>
      <c r="NQY38" s="243"/>
      <c r="NQZ38" s="10"/>
      <c r="NRA38" s="10"/>
      <c r="NRB38" s="239"/>
      <c r="NRJ38" s="241"/>
      <c r="NRK38" s="242"/>
      <c r="NRL38" s="243"/>
      <c r="NRM38" s="10"/>
      <c r="NRN38" s="10"/>
      <c r="NRO38" s="239"/>
      <c r="NRW38" s="241"/>
      <c r="NRX38" s="242"/>
      <c r="NRY38" s="243"/>
      <c r="NRZ38" s="10"/>
      <c r="NSA38" s="10"/>
      <c r="NSB38" s="239"/>
      <c r="NSJ38" s="241"/>
      <c r="NSK38" s="242"/>
      <c r="NSL38" s="243"/>
      <c r="NSM38" s="10"/>
      <c r="NSN38" s="10"/>
      <c r="NSO38" s="239"/>
      <c r="NSW38" s="241"/>
      <c r="NSX38" s="242"/>
      <c r="NSY38" s="243"/>
      <c r="NSZ38" s="10"/>
      <c r="NTA38" s="10"/>
      <c r="NTB38" s="239"/>
      <c r="NTJ38" s="241"/>
      <c r="NTK38" s="242"/>
      <c r="NTL38" s="243"/>
      <c r="NTM38" s="10"/>
      <c r="NTN38" s="10"/>
      <c r="NTO38" s="239"/>
      <c r="NTW38" s="241"/>
      <c r="NTX38" s="242"/>
      <c r="NTY38" s="243"/>
      <c r="NTZ38" s="10"/>
      <c r="NUA38" s="10"/>
      <c r="NUB38" s="239"/>
      <c r="NUJ38" s="241"/>
      <c r="NUK38" s="242"/>
      <c r="NUL38" s="243"/>
      <c r="NUM38" s="10"/>
      <c r="NUN38" s="10"/>
      <c r="NUO38" s="239"/>
      <c r="NUW38" s="241"/>
      <c r="NUX38" s="242"/>
      <c r="NUY38" s="243"/>
      <c r="NUZ38" s="10"/>
      <c r="NVA38" s="10"/>
      <c r="NVB38" s="239"/>
      <c r="NVJ38" s="241"/>
      <c r="NVK38" s="242"/>
      <c r="NVL38" s="243"/>
      <c r="NVM38" s="10"/>
      <c r="NVN38" s="10"/>
      <c r="NVO38" s="239"/>
      <c r="NVW38" s="241"/>
      <c r="NVX38" s="242"/>
      <c r="NVY38" s="243"/>
      <c r="NVZ38" s="10"/>
      <c r="NWA38" s="10"/>
      <c r="NWB38" s="239"/>
      <c r="NWJ38" s="241"/>
      <c r="NWK38" s="242"/>
      <c r="NWL38" s="243"/>
      <c r="NWM38" s="10"/>
      <c r="NWN38" s="10"/>
      <c r="NWO38" s="239"/>
      <c r="NWW38" s="241"/>
      <c r="NWX38" s="242"/>
      <c r="NWY38" s="243"/>
      <c r="NWZ38" s="10"/>
      <c r="NXA38" s="10"/>
      <c r="NXB38" s="239"/>
      <c r="NXJ38" s="241"/>
      <c r="NXK38" s="242"/>
      <c r="NXL38" s="243"/>
      <c r="NXM38" s="10"/>
      <c r="NXN38" s="10"/>
      <c r="NXO38" s="239"/>
      <c r="NXW38" s="241"/>
      <c r="NXX38" s="242"/>
      <c r="NXY38" s="243"/>
      <c r="NXZ38" s="10"/>
      <c r="NYA38" s="10"/>
      <c r="NYB38" s="239"/>
      <c r="NYJ38" s="241"/>
      <c r="NYK38" s="242"/>
      <c r="NYL38" s="243"/>
      <c r="NYM38" s="10"/>
      <c r="NYN38" s="10"/>
      <c r="NYO38" s="239"/>
      <c r="NYW38" s="241"/>
      <c r="NYX38" s="242"/>
      <c r="NYY38" s="243"/>
      <c r="NYZ38" s="10"/>
      <c r="NZA38" s="10"/>
      <c r="NZB38" s="239"/>
      <c r="NZJ38" s="241"/>
      <c r="NZK38" s="242"/>
      <c r="NZL38" s="243"/>
      <c r="NZM38" s="10"/>
      <c r="NZN38" s="10"/>
      <c r="NZO38" s="239"/>
      <c r="NZW38" s="241"/>
      <c r="NZX38" s="242"/>
      <c r="NZY38" s="243"/>
      <c r="NZZ38" s="10"/>
      <c r="OAA38" s="10"/>
      <c r="OAB38" s="239"/>
      <c r="OAJ38" s="241"/>
      <c r="OAK38" s="242"/>
      <c r="OAL38" s="243"/>
      <c r="OAM38" s="10"/>
      <c r="OAN38" s="10"/>
      <c r="OAO38" s="239"/>
      <c r="OAW38" s="241"/>
      <c r="OAX38" s="242"/>
      <c r="OAY38" s="243"/>
      <c r="OAZ38" s="10"/>
      <c r="OBA38" s="10"/>
      <c r="OBB38" s="239"/>
      <c r="OBJ38" s="241"/>
      <c r="OBK38" s="242"/>
      <c r="OBL38" s="243"/>
      <c r="OBM38" s="10"/>
      <c r="OBN38" s="10"/>
      <c r="OBO38" s="239"/>
      <c r="OBW38" s="241"/>
      <c r="OBX38" s="242"/>
      <c r="OBY38" s="243"/>
      <c r="OBZ38" s="10"/>
      <c r="OCA38" s="10"/>
      <c r="OCB38" s="239"/>
      <c r="OCJ38" s="241"/>
      <c r="OCK38" s="242"/>
      <c r="OCL38" s="243"/>
      <c r="OCM38" s="10"/>
      <c r="OCN38" s="10"/>
      <c r="OCO38" s="239"/>
      <c r="OCW38" s="241"/>
      <c r="OCX38" s="242"/>
      <c r="OCY38" s="243"/>
      <c r="OCZ38" s="10"/>
      <c r="ODA38" s="10"/>
      <c r="ODB38" s="239"/>
      <c r="ODJ38" s="241"/>
      <c r="ODK38" s="242"/>
      <c r="ODL38" s="243"/>
      <c r="ODM38" s="10"/>
      <c r="ODN38" s="10"/>
      <c r="ODO38" s="239"/>
      <c r="ODW38" s="241"/>
      <c r="ODX38" s="242"/>
      <c r="ODY38" s="243"/>
      <c r="ODZ38" s="10"/>
      <c r="OEA38" s="10"/>
      <c r="OEB38" s="239"/>
      <c r="OEJ38" s="241"/>
      <c r="OEK38" s="242"/>
      <c r="OEL38" s="243"/>
      <c r="OEM38" s="10"/>
      <c r="OEN38" s="10"/>
      <c r="OEO38" s="239"/>
      <c r="OEW38" s="241"/>
      <c r="OEX38" s="242"/>
      <c r="OEY38" s="243"/>
      <c r="OEZ38" s="10"/>
      <c r="OFA38" s="10"/>
      <c r="OFB38" s="239"/>
      <c r="OFJ38" s="241"/>
      <c r="OFK38" s="242"/>
      <c r="OFL38" s="243"/>
      <c r="OFM38" s="10"/>
      <c r="OFN38" s="10"/>
      <c r="OFO38" s="239"/>
      <c r="OFW38" s="241"/>
      <c r="OFX38" s="242"/>
      <c r="OFY38" s="243"/>
      <c r="OFZ38" s="10"/>
      <c r="OGA38" s="10"/>
      <c r="OGB38" s="239"/>
      <c r="OGJ38" s="241"/>
      <c r="OGK38" s="242"/>
      <c r="OGL38" s="243"/>
      <c r="OGM38" s="10"/>
      <c r="OGN38" s="10"/>
      <c r="OGO38" s="239"/>
      <c r="OGW38" s="241"/>
      <c r="OGX38" s="242"/>
      <c r="OGY38" s="243"/>
      <c r="OGZ38" s="10"/>
      <c r="OHA38" s="10"/>
      <c r="OHB38" s="239"/>
      <c r="OHJ38" s="241"/>
      <c r="OHK38" s="242"/>
      <c r="OHL38" s="243"/>
      <c r="OHM38" s="10"/>
      <c r="OHN38" s="10"/>
      <c r="OHO38" s="239"/>
      <c r="OHW38" s="241"/>
      <c r="OHX38" s="242"/>
      <c r="OHY38" s="243"/>
      <c r="OHZ38" s="10"/>
      <c r="OIA38" s="10"/>
      <c r="OIB38" s="239"/>
      <c r="OIJ38" s="241"/>
      <c r="OIK38" s="242"/>
      <c r="OIL38" s="243"/>
      <c r="OIM38" s="10"/>
      <c r="OIN38" s="10"/>
      <c r="OIO38" s="239"/>
      <c r="OIW38" s="241"/>
      <c r="OIX38" s="242"/>
      <c r="OIY38" s="243"/>
      <c r="OIZ38" s="10"/>
      <c r="OJA38" s="10"/>
      <c r="OJB38" s="239"/>
      <c r="OJJ38" s="241"/>
      <c r="OJK38" s="242"/>
      <c r="OJL38" s="243"/>
      <c r="OJM38" s="10"/>
      <c r="OJN38" s="10"/>
      <c r="OJO38" s="239"/>
      <c r="OJW38" s="241"/>
      <c r="OJX38" s="242"/>
      <c r="OJY38" s="243"/>
      <c r="OJZ38" s="10"/>
      <c r="OKA38" s="10"/>
      <c r="OKB38" s="239"/>
      <c r="OKJ38" s="241"/>
      <c r="OKK38" s="242"/>
      <c r="OKL38" s="243"/>
      <c r="OKM38" s="10"/>
      <c r="OKN38" s="10"/>
      <c r="OKO38" s="239"/>
      <c r="OKW38" s="241"/>
      <c r="OKX38" s="242"/>
      <c r="OKY38" s="243"/>
      <c r="OKZ38" s="10"/>
      <c r="OLA38" s="10"/>
      <c r="OLB38" s="239"/>
      <c r="OLJ38" s="241"/>
      <c r="OLK38" s="242"/>
      <c r="OLL38" s="243"/>
      <c r="OLM38" s="10"/>
      <c r="OLN38" s="10"/>
      <c r="OLO38" s="239"/>
      <c r="OLW38" s="241"/>
      <c r="OLX38" s="242"/>
      <c r="OLY38" s="243"/>
      <c r="OLZ38" s="10"/>
      <c r="OMA38" s="10"/>
      <c r="OMB38" s="239"/>
      <c r="OMJ38" s="241"/>
      <c r="OMK38" s="242"/>
      <c r="OML38" s="243"/>
      <c r="OMM38" s="10"/>
      <c r="OMN38" s="10"/>
      <c r="OMO38" s="239"/>
      <c r="OMW38" s="241"/>
      <c r="OMX38" s="242"/>
      <c r="OMY38" s="243"/>
      <c r="OMZ38" s="10"/>
      <c r="ONA38" s="10"/>
      <c r="ONB38" s="239"/>
      <c r="ONJ38" s="241"/>
      <c r="ONK38" s="242"/>
      <c r="ONL38" s="243"/>
      <c r="ONM38" s="10"/>
      <c r="ONN38" s="10"/>
      <c r="ONO38" s="239"/>
      <c r="ONW38" s="241"/>
      <c r="ONX38" s="242"/>
      <c r="ONY38" s="243"/>
      <c r="ONZ38" s="10"/>
      <c r="OOA38" s="10"/>
      <c r="OOB38" s="239"/>
      <c r="OOJ38" s="241"/>
      <c r="OOK38" s="242"/>
      <c r="OOL38" s="243"/>
      <c r="OOM38" s="10"/>
      <c r="OON38" s="10"/>
      <c r="OOO38" s="239"/>
      <c r="OOW38" s="241"/>
      <c r="OOX38" s="242"/>
      <c r="OOY38" s="243"/>
      <c r="OOZ38" s="10"/>
      <c r="OPA38" s="10"/>
      <c r="OPB38" s="239"/>
      <c r="OPJ38" s="241"/>
      <c r="OPK38" s="242"/>
      <c r="OPL38" s="243"/>
      <c r="OPM38" s="10"/>
      <c r="OPN38" s="10"/>
      <c r="OPO38" s="239"/>
      <c r="OPW38" s="241"/>
      <c r="OPX38" s="242"/>
      <c r="OPY38" s="243"/>
      <c r="OPZ38" s="10"/>
      <c r="OQA38" s="10"/>
      <c r="OQB38" s="239"/>
      <c r="OQJ38" s="241"/>
      <c r="OQK38" s="242"/>
      <c r="OQL38" s="243"/>
      <c r="OQM38" s="10"/>
      <c r="OQN38" s="10"/>
      <c r="OQO38" s="239"/>
      <c r="OQW38" s="241"/>
      <c r="OQX38" s="242"/>
      <c r="OQY38" s="243"/>
      <c r="OQZ38" s="10"/>
      <c r="ORA38" s="10"/>
      <c r="ORB38" s="239"/>
      <c r="ORJ38" s="241"/>
      <c r="ORK38" s="242"/>
      <c r="ORL38" s="243"/>
      <c r="ORM38" s="10"/>
      <c r="ORN38" s="10"/>
      <c r="ORO38" s="239"/>
      <c r="ORW38" s="241"/>
      <c r="ORX38" s="242"/>
      <c r="ORY38" s="243"/>
      <c r="ORZ38" s="10"/>
      <c r="OSA38" s="10"/>
      <c r="OSB38" s="239"/>
      <c r="OSJ38" s="241"/>
      <c r="OSK38" s="242"/>
      <c r="OSL38" s="243"/>
      <c r="OSM38" s="10"/>
      <c r="OSN38" s="10"/>
      <c r="OSO38" s="239"/>
      <c r="OSW38" s="241"/>
      <c r="OSX38" s="242"/>
      <c r="OSY38" s="243"/>
      <c r="OSZ38" s="10"/>
      <c r="OTA38" s="10"/>
      <c r="OTB38" s="239"/>
      <c r="OTJ38" s="241"/>
      <c r="OTK38" s="242"/>
      <c r="OTL38" s="243"/>
      <c r="OTM38" s="10"/>
      <c r="OTN38" s="10"/>
      <c r="OTO38" s="239"/>
      <c r="OTW38" s="241"/>
      <c r="OTX38" s="242"/>
      <c r="OTY38" s="243"/>
      <c r="OTZ38" s="10"/>
      <c r="OUA38" s="10"/>
      <c r="OUB38" s="239"/>
      <c r="OUJ38" s="241"/>
      <c r="OUK38" s="242"/>
      <c r="OUL38" s="243"/>
      <c r="OUM38" s="10"/>
      <c r="OUN38" s="10"/>
      <c r="OUO38" s="239"/>
      <c r="OUW38" s="241"/>
      <c r="OUX38" s="242"/>
      <c r="OUY38" s="243"/>
      <c r="OUZ38" s="10"/>
      <c r="OVA38" s="10"/>
      <c r="OVB38" s="239"/>
      <c r="OVJ38" s="241"/>
      <c r="OVK38" s="242"/>
      <c r="OVL38" s="243"/>
      <c r="OVM38" s="10"/>
      <c r="OVN38" s="10"/>
      <c r="OVO38" s="239"/>
      <c r="OVW38" s="241"/>
      <c r="OVX38" s="242"/>
      <c r="OVY38" s="243"/>
      <c r="OVZ38" s="10"/>
      <c r="OWA38" s="10"/>
      <c r="OWB38" s="239"/>
      <c r="OWJ38" s="241"/>
      <c r="OWK38" s="242"/>
      <c r="OWL38" s="243"/>
      <c r="OWM38" s="10"/>
      <c r="OWN38" s="10"/>
      <c r="OWO38" s="239"/>
      <c r="OWW38" s="241"/>
      <c r="OWX38" s="242"/>
      <c r="OWY38" s="243"/>
      <c r="OWZ38" s="10"/>
      <c r="OXA38" s="10"/>
      <c r="OXB38" s="239"/>
      <c r="OXJ38" s="241"/>
      <c r="OXK38" s="242"/>
      <c r="OXL38" s="243"/>
      <c r="OXM38" s="10"/>
      <c r="OXN38" s="10"/>
      <c r="OXO38" s="239"/>
      <c r="OXW38" s="241"/>
      <c r="OXX38" s="242"/>
      <c r="OXY38" s="243"/>
      <c r="OXZ38" s="10"/>
      <c r="OYA38" s="10"/>
      <c r="OYB38" s="239"/>
      <c r="OYJ38" s="241"/>
      <c r="OYK38" s="242"/>
      <c r="OYL38" s="243"/>
      <c r="OYM38" s="10"/>
      <c r="OYN38" s="10"/>
      <c r="OYO38" s="239"/>
      <c r="OYW38" s="241"/>
      <c r="OYX38" s="242"/>
      <c r="OYY38" s="243"/>
      <c r="OYZ38" s="10"/>
      <c r="OZA38" s="10"/>
      <c r="OZB38" s="239"/>
      <c r="OZJ38" s="241"/>
      <c r="OZK38" s="242"/>
      <c r="OZL38" s="243"/>
      <c r="OZM38" s="10"/>
      <c r="OZN38" s="10"/>
      <c r="OZO38" s="239"/>
      <c r="OZW38" s="241"/>
      <c r="OZX38" s="242"/>
      <c r="OZY38" s="243"/>
      <c r="OZZ38" s="10"/>
      <c r="PAA38" s="10"/>
      <c r="PAB38" s="239"/>
      <c r="PAJ38" s="241"/>
      <c r="PAK38" s="242"/>
      <c r="PAL38" s="243"/>
      <c r="PAM38" s="10"/>
      <c r="PAN38" s="10"/>
      <c r="PAO38" s="239"/>
      <c r="PAW38" s="241"/>
      <c r="PAX38" s="242"/>
      <c r="PAY38" s="243"/>
      <c r="PAZ38" s="10"/>
      <c r="PBA38" s="10"/>
      <c r="PBB38" s="239"/>
      <c r="PBJ38" s="241"/>
      <c r="PBK38" s="242"/>
      <c r="PBL38" s="243"/>
      <c r="PBM38" s="10"/>
      <c r="PBN38" s="10"/>
      <c r="PBO38" s="239"/>
      <c r="PBW38" s="241"/>
      <c r="PBX38" s="242"/>
      <c r="PBY38" s="243"/>
      <c r="PBZ38" s="10"/>
      <c r="PCA38" s="10"/>
      <c r="PCB38" s="239"/>
      <c r="PCJ38" s="241"/>
      <c r="PCK38" s="242"/>
      <c r="PCL38" s="243"/>
      <c r="PCM38" s="10"/>
      <c r="PCN38" s="10"/>
      <c r="PCO38" s="239"/>
      <c r="PCW38" s="241"/>
      <c r="PCX38" s="242"/>
      <c r="PCY38" s="243"/>
      <c r="PCZ38" s="10"/>
      <c r="PDA38" s="10"/>
      <c r="PDB38" s="239"/>
      <c r="PDJ38" s="241"/>
      <c r="PDK38" s="242"/>
      <c r="PDL38" s="243"/>
      <c r="PDM38" s="10"/>
      <c r="PDN38" s="10"/>
      <c r="PDO38" s="239"/>
      <c r="PDW38" s="241"/>
      <c r="PDX38" s="242"/>
      <c r="PDY38" s="243"/>
      <c r="PDZ38" s="10"/>
      <c r="PEA38" s="10"/>
      <c r="PEB38" s="239"/>
      <c r="PEJ38" s="241"/>
      <c r="PEK38" s="242"/>
      <c r="PEL38" s="243"/>
      <c r="PEM38" s="10"/>
      <c r="PEN38" s="10"/>
      <c r="PEO38" s="239"/>
      <c r="PEW38" s="241"/>
      <c r="PEX38" s="242"/>
      <c r="PEY38" s="243"/>
      <c r="PEZ38" s="10"/>
      <c r="PFA38" s="10"/>
      <c r="PFB38" s="239"/>
      <c r="PFJ38" s="241"/>
      <c r="PFK38" s="242"/>
      <c r="PFL38" s="243"/>
      <c r="PFM38" s="10"/>
      <c r="PFN38" s="10"/>
      <c r="PFO38" s="239"/>
      <c r="PFW38" s="241"/>
      <c r="PFX38" s="242"/>
      <c r="PFY38" s="243"/>
      <c r="PFZ38" s="10"/>
      <c r="PGA38" s="10"/>
      <c r="PGB38" s="239"/>
      <c r="PGJ38" s="241"/>
      <c r="PGK38" s="242"/>
      <c r="PGL38" s="243"/>
      <c r="PGM38" s="10"/>
      <c r="PGN38" s="10"/>
      <c r="PGO38" s="239"/>
      <c r="PGW38" s="241"/>
      <c r="PGX38" s="242"/>
      <c r="PGY38" s="243"/>
      <c r="PGZ38" s="10"/>
      <c r="PHA38" s="10"/>
      <c r="PHB38" s="239"/>
      <c r="PHJ38" s="241"/>
      <c r="PHK38" s="242"/>
      <c r="PHL38" s="243"/>
      <c r="PHM38" s="10"/>
      <c r="PHN38" s="10"/>
      <c r="PHO38" s="239"/>
      <c r="PHW38" s="241"/>
      <c r="PHX38" s="242"/>
      <c r="PHY38" s="243"/>
      <c r="PHZ38" s="10"/>
      <c r="PIA38" s="10"/>
      <c r="PIB38" s="239"/>
      <c r="PIJ38" s="241"/>
      <c r="PIK38" s="242"/>
      <c r="PIL38" s="243"/>
      <c r="PIM38" s="10"/>
      <c r="PIN38" s="10"/>
      <c r="PIO38" s="239"/>
      <c r="PIW38" s="241"/>
      <c r="PIX38" s="242"/>
      <c r="PIY38" s="243"/>
      <c r="PIZ38" s="10"/>
      <c r="PJA38" s="10"/>
      <c r="PJB38" s="239"/>
      <c r="PJJ38" s="241"/>
      <c r="PJK38" s="242"/>
      <c r="PJL38" s="243"/>
      <c r="PJM38" s="10"/>
      <c r="PJN38" s="10"/>
      <c r="PJO38" s="239"/>
      <c r="PJW38" s="241"/>
      <c r="PJX38" s="242"/>
      <c r="PJY38" s="243"/>
      <c r="PJZ38" s="10"/>
      <c r="PKA38" s="10"/>
      <c r="PKB38" s="239"/>
      <c r="PKJ38" s="241"/>
      <c r="PKK38" s="242"/>
      <c r="PKL38" s="243"/>
      <c r="PKM38" s="10"/>
      <c r="PKN38" s="10"/>
      <c r="PKO38" s="239"/>
      <c r="PKW38" s="241"/>
      <c r="PKX38" s="242"/>
      <c r="PKY38" s="243"/>
      <c r="PKZ38" s="10"/>
      <c r="PLA38" s="10"/>
      <c r="PLB38" s="239"/>
      <c r="PLJ38" s="241"/>
      <c r="PLK38" s="242"/>
      <c r="PLL38" s="243"/>
      <c r="PLM38" s="10"/>
      <c r="PLN38" s="10"/>
      <c r="PLO38" s="239"/>
      <c r="PLW38" s="241"/>
      <c r="PLX38" s="242"/>
      <c r="PLY38" s="243"/>
      <c r="PLZ38" s="10"/>
      <c r="PMA38" s="10"/>
      <c r="PMB38" s="239"/>
      <c r="PMJ38" s="241"/>
      <c r="PMK38" s="242"/>
      <c r="PML38" s="243"/>
      <c r="PMM38" s="10"/>
      <c r="PMN38" s="10"/>
      <c r="PMO38" s="239"/>
      <c r="PMW38" s="241"/>
      <c r="PMX38" s="242"/>
      <c r="PMY38" s="243"/>
      <c r="PMZ38" s="10"/>
      <c r="PNA38" s="10"/>
      <c r="PNB38" s="239"/>
      <c r="PNJ38" s="241"/>
      <c r="PNK38" s="242"/>
      <c r="PNL38" s="243"/>
      <c r="PNM38" s="10"/>
      <c r="PNN38" s="10"/>
      <c r="PNO38" s="239"/>
      <c r="PNW38" s="241"/>
      <c r="PNX38" s="242"/>
      <c r="PNY38" s="243"/>
      <c r="PNZ38" s="10"/>
      <c r="POA38" s="10"/>
      <c r="POB38" s="239"/>
      <c r="POJ38" s="241"/>
      <c r="POK38" s="242"/>
      <c r="POL38" s="243"/>
      <c r="POM38" s="10"/>
      <c r="PON38" s="10"/>
      <c r="POO38" s="239"/>
      <c r="POW38" s="241"/>
      <c r="POX38" s="242"/>
      <c r="POY38" s="243"/>
      <c r="POZ38" s="10"/>
      <c r="PPA38" s="10"/>
      <c r="PPB38" s="239"/>
      <c r="PPJ38" s="241"/>
      <c r="PPK38" s="242"/>
      <c r="PPL38" s="243"/>
      <c r="PPM38" s="10"/>
      <c r="PPN38" s="10"/>
      <c r="PPO38" s="239"/>
      <c r="PPW38" s="241"/>
      <c r="PPX38" s="242"/>
      <c r="PPY38" s="243"/>
      <c r="PPZ38" s="10"/>
      <c r="PQA38" s="10"/>
      <c r="PQB38" s="239"/>
      <c r="PQJ38" s="241"/>
      <c r="PQK38" s="242"/>
      <c r="PQL38" s="243"/>
      <c r="PQM38" s="10"/>
      <c r="PQN38" s="10"/>
      <c r="PQO38" s="239"/>
      <c r="PQW38" s="241"/>
      <c r="PQX38" s="242"/>
      <c r="PQY38" s="243"/>
      <c r="PQZ38" s="10"/>
      <c r="PRA38" s="10"/>
      <c r="PRB38" s="239"/>
      <c r="PRJ38" s="241"/>
      <c r="PRK38" s="242"/>
      <c r="PRL38" s="243"/>
      <c r="PRM38" s="10"/>
      <c r="PRN38" s="10"/>
      <c r="PRO38" s="239"/>
      <c r="PRW38" s="241"/>
      <c r="PRX38" s="242"/>
      <c r="PRY38" s="243"/>
      <c r="PRZ38" s="10"/>
      <c r="PSA38" s="10"/>
      <c r="PSB38" s="239"/>
      <c r="PSJ38" s="241"/>
      <c r="PSK38" s="242"/>
      <c r="PSL38" s="243"/>
      <c r="PSM38" s="10"/>
      <c r="PSN38" s="10"/>
      <c r="PSO38" s="239"/>
      <c r="PSW38" s="241"/>
      <c r="PSX38" s="242"/>
      <c r="PSY38" s="243"/>
      <c r="PSZ38" s="10"/>
      <c r="PTA38" s="10"/>
      <c r="PTB38" s="239"/>
      <c r="PTJ38" s="241"/>
      <c r="PTK38" s="242"/>
      <c r="PTL38" s="243"/>
      <c r="PTM38" s="10"/>
      <c r="PTN38" s="10"/>
      <c r="PTO38" s="239"/>
      <c r="PTW38" s="241"/>
      <c r="PTX38" s="242"/>
      <c r="PTY38" s="243"/>
      <c r="PTZ38" s="10"/>
      <c r="PUA38" s="10"/>
      <c r="PUB38" s="239"/>
      <c r="PUJ38" s="241"/>
      <c r="PUK38" s="242"/>
      <c r="PUL38" s="243"/>
      <c r="PUM38" s="10"/>
      <c r="PUN38" s="10"/>
      <c r="PUO38" s="239"/>
      <c r="PUW38" s="241"/>
      <c r="PUX38" s="242"/>
      <c r="PUY38" s="243"/>
      <c r="PUZ38" s="10"/>
      <c r="PVA38" s="10"/>
      <c r="PVB38" s="239"/>
      <c r="PVJ38" s="241"/>
      <c r="PVK38" s="242"/>
      <c r="PVL38" s="243"/>
      <c r="PVM38" s="10"/>
      <c r="PVN38" s="10"/>
      <c r="PVO38" s="239"/>
      <c r="PVW38" s="241"/>
      <c r="PVX38" s="242"/>
      <c r="PVY38" s="243"/>
      <c r="PVZ38" s="10"/>
      <c r="PWA38" s="10"/>
      <c r="PWB38" s="239"/>
      <c r="PWJ38" s="241"/>
      <c r="PWK38" s="242"/>
      <c r="PWL38" s="243"/>
      <c r="PWM38" s="10"/>
      <c r="PWN38" s="10"/>
      <c r="PWO38" s="239"/>
      <c r="PWW38" s="241"/>
      <c r="PWX38" s="242"/>
      <c r="PWY38" s="243"/>
      <c r="PWZ38" s="10"/>
      <c r="PXA38" s="10"/>
      <c r="PXB38" s="239"/>
      <c r="PXJ38" s="241"/>
      <c r="PXK38" s="242"/>
      <c r="PXL38" s="243"/>
      <c r="PXM38" s="10"/>
      <c r="PXN38" s="10"/>
      <c r="PXO38" s="239"/>
      <c r="PXW38" s="241"/>
      <c r="PXX38" s="242"/>
      <c r="PXY38" s="243"/>
      <c r="PXZ38" s="10"/>
      <c r="PYA38" s="10"/>
      <c r="PYB38" s="239"/>
      <c r="PYJ38" s="241"/>
      <c r="PYK38" s="242"/>
      <c r="PYL38" s="243"/>
      <c r="PYM38" s="10"/>
      <c r="PYN38" s="10"/>
      <c r="PYO38" s="239"/>
      <c r="PYW38" s="241"/>
      <c r="PYX38" s="242"/>
      <c r="PYY38" s="243"/>
      <c r="PYZ38" s="10"/>
      <c r="PZA38" s="10"/>
      <c r="PZB38" s="239"/>
      <c r="PZJ38" s="241"/>
      <c r="PZK38" s="242"/>
      <c r="PZL38" s="243"/>
      <c r="PZM38" s="10"/>
      <c r="PZN38" s="10"/>
      <c r="PZO38" s="239"/>
      <c r="PZW38" s="241"/>
      <c r="PZX38" s="242"/>
      <c r="PZY38" s="243"/>
      <c r="PZZ38" s="10"/>
      <c r="QAA38" s="10"/>
      <c r="QAB38" s="239"/>
      <c r="QAJ38" s="241"/>
      <c r="QAK38" s="242"/>
      <c r="QAL38" s="243"/>
      <c r="QAM38" s="10"/>
      <c r="QAN38" s="10"/>
      <c r="QAO38" s="239"/>
      <c r="QAW38" s="241"/>
      <c r="QAX38" s="242"/>
      <c r="QAY38" s="243"/>
      <c r="QAZ38" s="10"/>
      <c r="QBA38" s="10"/>
      <c r="QBB38" s="239"/>
      <c r="QBJ38" s="241"/>
      <c r="QBK38" s="242"/>
      <c r="QBL38" s="243"/>
      <c r="QBM38" s="10"/>
      <c r="QBN38" s="10"/>
      <c r="QBO38" s="239"/>
      <c r="QBW38" s="241"/>
      <c r="QBX38" s="242"/>
      <c r="QBY38" s="243"/>
      <c r="QBZ38" s="10"/>
      <c r="QCA38" s="10"/>
      <c r="QCB38" s="239"/>
      <c r="QCJ38" s="241"/>
      <c r="QCK38" s="242"/>
      <c r="QCL38" s="243"/>
      <c r="QCM38" s="10"/>
      <c r="QCN38" s="10"/>
      <c r="QCO38" s="239"/>
      <c r="QCW38" s="241"/>
      <c r="QCX38" s="242"/>
      <c r="QCY38" s="243"/>
      <c r="QCZ38" s="10"/>
      <c r="QDA38" s="10"/>
      <c r="QDB38" s="239"/>
      <c r="QDJ38" s="241"/>
      <c r="QDK38" s="242"/>
      <c r="QDL38" s="243"/>
      <c r="QDM38" s="10"/>
      <c r="QDN38" s="10"/>
      <c r="QDO38" s="239"/>
      <c r="QDW38" s="241"/>
      <c r="QDX38" s="242"/>
      <c r="QDY38" s="243"/>
      <c r="QDZ38" s="10"/>
      <c r="QEA38" s="10"/>
      <c r="QEB38" s="239"/>
      <c r="QEJ38" s="241"/>
      <c r="QEK38" s="242"/>
      <c r="QEL38" s="243"/>
      <c r="QEM38" s="10"/>
      <c r="QEN38" s="10"/>
      <c r="QEO38" s="239"/>
      <c r="QEW38" s="241"/>
      <c r="QEX38" s="242"/>
      <c r="QEY38" s="243"/>
      <c r="QEZ38" s="10"/>
      <c r="QFA38" s="10"/>
      <c r="QFB38" s="239"/>
      <c r="QFJ38" s="241"/>
      <c r="QFK38" s="242"/>
      <c r="QFL38" s="243"/>
      <c r="QFM38" s="10"/>
      <c r="QFN38" s="10"/>
      <c r="QFO38" s="239"/>
      <c r="QFW38" s="241"/>
      <c r="QFX38" s="242"/>
      <c r="QFY38" s="243"/>
      <c r="QFZ38" s="10"/>
      <c r="QGA38" s="10"/>
      <c r="QGB38" s="239"/>
      <c r="QGJ38" s="241"/>
      <c r="QGK38" s="242"/>
      <c r="QGL38" s="243"/>
      <c r="QGM38" s="10"/>
      <c r="QGN38" s="10"/>
      <c r="QGO38" s="239"/>
      <c r="QGW38" s="241"/>
      <c r="QGX38" s="242"/>
      <c r="QGY38" s="243"/>
      <c r="QGZ38" s="10"/>
      <c r="QHA38" s="10"/>
      <c r="QHB38" s="239"/>
      <c r="QHJ38" s="241"/>
      <c r="QHK38" s="242"/>
      <c r="QHL38" s="243"/>
      <c r="QHM38" s="10"/>
      <c r="QHN38" s="10"/>
      <c r="QHO38" s="239"/>
      <c r="QHW38" s="241"/>
      <c r="QHX38" s="242"/>
      <c r="QHY38" s="243"/>
      <c r="QHZ38" s="10"/>
      <c r="QIA38" s="10"/>
      <c r="QIB38" s="239"/>
      <c r="QIJ38" s="241"/>
      <c r="QIK38" s="242"/>
      <c r="QIL38" s="243"/>
      <c r="QIM38" s="10"/>
      <c r="QIN38" s="10"/>
      <c r="QIO38" s="239"/>
      <c r="QIW38" s="241"/>
      <c r="QIX38" s="242"/>
      <c r="QIY38" s="243"/>
      <c r="QIZ38" s="10"/>
      <c r="QJA38" s="10"/>
      <c r="QJB38" s="239"/>
      <c r="QJJ38" s="241"/>
      <c r="QJK38" s="242"/>
      <c r="QJL38" s="243"/>
      <c r="QJM38" s="10"/>
      <c r="QJN38" s="10"/>
      <c r="QJO38" s="239"/>
      <c r="QJW38" s="241"/>
      <c r="QJX38" s="242"/>
      <c r="QJY38" s="243"/>
      <c r="QJZ38" s="10"/>
      <c r="QKA38" s="10"/>
      <c r="QKB38" s="239"/>
      <c r="QKJ38" s="241"/>
      <c r="QKK38" s="242"/>
      <c r="QKL38" s="243"/>
      <c r="QKM38" s="10"/>
      <c r="QKN38" s="10"/>
      <c r="QKO38" s="239"/>
      <c r="QKW38" s="241"/>
      <c r="QKX38" s="242"/>
      <c r="QKY38" s="243"/>
      <c r="QKZ38" s="10"/>
      <c r="QLA38" s="10"/>
      <c r="QLB38" s="239"/>
      <c r="QLJ38" s="241"/>
      <c r="QLK38" s="242"/>
      <c r="QLL38" s="243"/>
      <c r="QLM38" s="10"/>
      <c r="QLN38" s="10"/>
      <c r="QLO38" s="239"/>
      <c r="QLW38" s="241"/>
      <c r="QLX38" s="242"/>
      <c r="QLY38" s="243"/>
      <c r="QLZ38" s="10"/>
      <c r="QMA38" s="10"/>
      <c r="QMB38" s="239"/>
      <c r="QMJ38" s="241"/>
      <c r="QMK38" s="242"/>
      <c r="QML38" s="243"/>
      <c r="QMM38" s="10"/>
      <c r="QMN38" s="10"/>
      <c r="QMO38" s="239"/>
      <c r="QMW38" s="241"/>
      <c r="QMX38" s="242"/>
      <c r="QMY38" s="243"/>
      <c r="QMZ38" s="10"/>
      <c r="QNA38" s="10"/>
      <c r="QNB38" s="239"/>
      <c r="QNJ38" s="241"/>
      <c r="QNK38" s="242"/>
      <c r="QNL38" s="243"/>
      <c r="QNM38" s="10"/>
      <c r="QNN38" s="10"/>
      <c r="QNO38" s="239"/>
      <c r="QNW38" s="241"/>
      <c r="QNX38" s="242"/>
      <c r="QNY38" s="243"/>
      <c r="QNZ38" s="10"/>
      <c r="QOA38" s="10"/>
      <c r="QOB38" s="239"/>
      <c r="QOJ38" s="241"/>
      <c r="QOK38" s="242"/>
      <c r="QOL38" s="243"/>
      <c r="QOM38" s="10"/>
      <c r="QON38" s="10"/>
      <c r="QOO38" s="239"/>
      <c r="QOW38" s="241"/>
      <c r="QOX38" s="242"/>
      <c r="QOY38" s="243"/>
      <c r="QOZ38" s="10"/>
      <c r="QPA38" s="10"/>
      <c r="QPB38" s="239"/>
      <c r="QPJ38" s="241"/>
      <c r="QPK38" s="242"/>
      <c r="QPL38" s="243"/>
      <c r="QPM38" s="10"/>
      <c r="QPN38" s="10"/>
      <c r="QPO38" s="239"/>
      <c r="QPW38" s="241"/>
      <c r="QPX38" s="242"/>
      <c r="QPY38" s="243"/>
      <c r="QPZ38" s="10"/>
      <c r="QQA38" s="10"/>
      <c r="QQB38" s="239"/>
      <c r="QQJ38" s="241"/>
      <c r="QQK38" s="242"/>
      <c r="QQL38" s="243"/>
      <c r="QQM38" s="10"/>
      <c r="QQN38" s="10"/>
      <c r="QQO38" s="239"/>
      <c r="QQW38" s="241"/>
      <c r="QQX38" s="242"/>
      <c r="QQY38" s="243"/>
      <c r="QQZ38" s="10"/>
      <c r="QRA38" s="10"/>
      <c r="QRB38" s="239"/>
      <c r="QRJ38" s="241"/>
      <c r="QRK38" s="242"/>
      <c r="QRL38" s="243"/>
      <c r="QRM38" s="10"/>
      <c r="QRN38" s="10"/>
      <c r="QRO38" s="239"/>
      <c r="QRW38" s="241"/>
      <c r="QRX38" s="242"/>
      <c r="QRY38" s="243"/>
      <c r="QRZ38" s="10"/>
      <c r="QSA38" s="10"/>
      <c r="QSB38" s="239"/>
      <c r="QSJ38" s="241"/>
      <c r="QSK38" s="242"/>
      <c r="QSL38" s="243"/>
      <c r="QSM38" s="10"/>
      <c r="QSN38" s="10"/>
      <c r="QSO38" s="239"/>
      <c r="QSW38" s="241"/>
      <c r="QSX38" s="242"/>
      <c r="QSY38" s="243"/>
      <c r="QSZ38" s="10"/>
      <c r="QTA38" s="10"/>
      <c r="QTB38" s="239"/>
      <c r="QTJ38" s="241"/>
      <c r="QTK38" s="242"/>
      <c r="QTL38" s="243"/>
      <c r="QTM38" s="10"/>
      <c r="QTN38" s="10"/>
      <c r="QTO38" s="239"/>
      <c r="QTW38" s="241"/>
      <c r="QTX38" s="242"/>
      <c r="QTY38" s="243"/>
      <c r="QTZ38" s="10"/>
      <c r="QUA38" s="10"/>
      <c r="QUB38" s="239"/>
      <c r="QUJ38" s="241"/>
      <c r="QUK38" s="242"/>
      <c r="QUL38" s="243"/>
      <c r="QUM38" s="10"/>
      <c r="QUN38" s="10"/>
      <c r="QUO38" s="239"/>
      <c r="QUW38" s="241"/>
      <c r="QUX38" s="242"/>
      <c r="QUY38" s="243"/>
      <c r="QUZ38" s="10"/>
      <c r="QVA38" s="10"/>
      <c r="QVB38" s="239"/>
      <c r="QVJ38" s="241"/>
      <c r="QVK38" s="242"/>
      <c r="QVL38" s="243"/>
      <c r="QVM38" s="10"/>
      <c r="QVN38" s="10"/>
      <c r="QVO38" s="239"/>
      <c r="QVW38" s="241"/>
      <c r="QVX38" s="242"/>
      <c r="QVY38" s="243"/>
      <c r="QVZ38" s="10"/>
      <c r="QWA38" s="10"/>
      <c r="QWB38" s="239"/>
      <c r="QWJ38" s="241"/>
      <c r="QWK38" s="242"/>
      <c r="QWL38" s="243"/>
      <c r="QWM38" s="10"/>
      <c r="QWN38" s="10"/>
      <c r="QWO38" s="239"/>
      <c r="QWW38" s="241"/>
      <c r="QWX38" s="242"/>
      <c r="QWY38" s="243"/>
      <c r="QWZ38" s="10"/>
      <c r="QXA38" s="10"/>
      <c r="QXB38" s="239"/>
      <c r="QXJ38" s="241"/>
      <c r="QXK38" s="242"/>
      <c r="QXL38" s="243"/>
      <c r="QXM38" s="10"/>
      <c r="QXN38" s="10"/>
      <c r="QXO38" s="239"/>
      <c r="QXW38" s="241"/>
      <c r="QXX38" s="242"/>
      <c r="QXY38" s="243"/>
      <c r="QXZ38" s="10"/>
      <c r="QYA38" s="10"/>
      <c r="QYB38" s="239"/>
      <c r="QYJ38" s="241"/>
      <c r="QYK38" s="242"/>
      <c r="QYL38" s="243"/>
      <c r="QYM38" s="10"/>
      <c r="QYN38" s="10"/>
      <c r="QYO38" s="239"/>
      <c r="QYW38" s="241"/>
      <c r="QYX38" s="242"/>
      <c r="QYY38" s="243"/>
      <c r="QYZ38" s="10"/>
      <c r="QZA38" s="10"/>
      <c r="QZB38" s="239"/>
      <c r="QZJ38" s="241"/>
      <c r="QZK38" s="242"/>
      <c r="QZL38" s="243"/>
      <c r="QZM38" s="10"/>
      <c r="QZN38" s="10"/>
      <c r="QZO38" s="239"/>
      <c r="QZW38" s="241"/>
      <c r="QZX38" s="242"/>
      <c r="QZY38" s="243"/>
      <c r="QZZ38" s="10"/>
      <c r="RAA38" s="10"/>
      <c r="RAB38" s="239"/>
      <c r="RAJ38" s="241"/>
      <c r="RAK38" s="242"/>
      <c r="RAL38" s="243"/>
      <c r="RAM38" s="10"/>
      <c r="RAN38" s="10"/>
      <c r="RAO38" s="239"/>
      <c r="RAW38" s="241"/>
      <c r="RAX38" s="242"/>
      <c r="RAY38" s="243"/>
      <c r="RAZ38" s="10"/>
      <c r="RBA38" s="10"/>
      <c r="RBB38" s="239"/>
      <c r="RBJ38" s="241"/>
      <c r="RBK38" s="242"/>
      <c r="RBL38" s="243"/>
      <c r="RBM38" s="10"/>
      <c r="RBN38" s="10"/>
      <c r="RBO38" s="239"/>
      <c r="RBW38" s="241"/>
      <c r="RBX38" s="242"/>
      <c r="RBY38" s="243"/>
      <c r="RBZ38" s="10"/>
      <c r="RCA38" s="10"/>
      <c r="RCB38" s="239"/>
      <c r="RCJ38" s="241"/>
      <c r="RCK38" s="242"/>
      <c r="RCL38" s="243"/>
      <c r="RCM38" s="10"/>
      <c r="RCN38" s="10"/>
      <c r="RCO38" s="239"/>
      <c r="RCW38" s="241"/>
      <c r="RCX38" s="242"/>
      <c r="RCY38" s="243"/>
      <c r="RCZ38" s="10"/>
      <c r="RDA38" s="10"/>
      <c r="RDB38" s="239"/>
      <c r="RDJ38" s="241"/>
      <c r="RDK38" s="242"/>
      <c r="RDL38" s="243"/>
      <c r="RDM38" s="10"/>
      <c r="RDN38" s="10"/>
      <c r="RDO38" s="239"/>
      <c r="RDW38" s="241"/>
      <c r="RDX38" s="242"/>
      <c r="RDY38" s="243"/>
      <c r="RDZ38" s="10"/>
      <c r="REA38" s="10"/>
      <c r="REB38" s="239"/>
      <c r="REJ38" s="241"/>
      <c r="REK38" s="242"/>
      <c r="REL38" s="243"/>
      <c r="REM38" s="10"/>
      <c r="REN38" s="10"/>
      <c r="REO38" s="239"/>
      <c r="REW38" s="241"/>
      <c r="REX38" s="242"/>
      <c r="REY38" s="243"/>
      <c r="REZ38" s="10"/>
      <c r="RFA38" s="10"/>
      <c r="RFB38" s="239"/>
      <c r="RFJ38" s="241"/>
      <c r="RFK38" s="242"/>
      <c r="RFL38" s="243"/>
      <c r="RFM38" s="10"/>
      <c r="RFN38" s="10"/>
      <c r="RFO38" s="239"/>
      <c r="RFW38" s="241"/>
      <c r="RFX38" s="242"/>
      <c r="RFY38" s="243"/>
      <c r="RFZ38" s="10"/>
      <c r="RGA38" s="10"/>
      <c r="RGB38" s="239"/>
      <c r="RGJ38" s="241"/>
      <c r="RGK38" s="242"/>
      <c r="RGL38" s="243"/>
      <c r="RGM38" s="10"/>
      <c r="RGN38" s="10"/>
      <c r="RGO38" s="239"/>
      <c r="RGW38" s="241"/>
      <c r="RGX38" s="242"/>
      <c r="RGY38" s="243"/>
      <c r="RGZ38" s="10"/>
      <c r="RHA38" s="10"/>
      <c r="RHB38" s="239"/>
      <c r="RHJ38" s="241"/>
      <c r="RHK38" s="242"/>
      <c r="RHL38" s="243"/>
      <c r="RHM38" s="10"/>
      <c r="RHN38" s="10"/>
      <c r="RHO38" s="239"/>
      <c r="RHW38" s="241"/>
      <c r="RHX38" s="242"/>
      <c r="RHY38" s="243"/>
      <c r="RHZ38" s="10"/>
      <c r="RIA38" s="10"/>
      <c r="RIB38" s="239"/>
      <c r="RIJ38" s="241"/>
      <c r="RIK38" s="242"/>
      <c r="RIL38" s="243"/>
      <c r="RIM38" s="10"/>
      <c r="RIN38" s="10"/>
      <c r="RIO38" s="239"/>
      <c r="RIW38" s="241"/>
      <c r="RIX38" s="242"/>
      <c r="RIY38" s="243"/>
      <c r="RIZ38" s="10"/>
      <c r="RJA38" s="10"/>
      <c r="RJB38" s="239"/>
      <c r="RJJ38" s="241"/>
      <c r="RJK38" s="242"/>
      <c r="RJL38" s="243"/>
      <c r="RJM38" s="10"/>
      <c r="RJN38" s="10"/>
      <c r="RJO38" s="239"/>
      <c r="RJW38" s="241"/>
      <c r="RJX38" s="242"/>
      <c r="RJY38" s="243"/>
      <c r="RJZ38" s="10"/>
      <c r="RKA38" s="10"/>
      <c r="RKB38" s="239"/>
      <c r="RKJ38" s="241"/>
      <c r="RKK38" s="242"/>
      <c r="RKL38" s="243"/>
      <c r="RKM38" s="10"/>
      <c r="RKN38" s="10"/>
      <c r="RKO38" s="239"/>
      <c r="RKW38" s="241"/>
      <c r="RKX38" s="242"/>
      <c r="RKY38" s="243"/>
      <c r="RKZ38" s="10"/>
      <c r="RLA38" s="10"/>
      <c r="RLB38" s="239"/>
      <c r="RLJ38" s="241"/>
      <c r="RLK38" s="242"/>
      <c r="RLL38" s="243"/>
      <c r="RLM38" s="10"/>
      <c r="RLN38" s="10"/>
      <c r="RLO38" s="239"/>
      <c r="RLW38" s="241"/>
      <c r="RLX38" s="242"/>
      <c r="RLY38" s="243"/>
      <c r="RLZ38" s="10"/>
      <c r="RMA38" s="10"/>
      <c r="RMB38" s="239"/>
      <c r="RMJ38" s="241"/>
      <c r="RMK38" s="242"/>
      <c r="RML38" s="243"/>
      <c r="RMM38" s="10"/>
      <c r="RMN38" s="10"/>
      <c r="RMO38" s="239"/>
      <c r="RMW38" s="241"/>
      <c r="RMX38" s="242"/>
      <c r="RMY38" s="243"/>
      <c r="RMZ38" s="10"/>
      <c r="RNA38" s="10"/>
      <c r="RNB38" s="239"/>
      <c r="RNJ38" s="241"/>
      <c r="RNK38" s="242"/>
      <c r="RNL38" s="243"/>
      <c r="RNM38" s="10"/>
      <c r="RNN38" s="10"/>
      <c r="RNO38" s="239"/>
      <c r="RNW38" s="241"/>
      <c r="RNX38" s="242"/>
      <c r="RNY38" s="243"/>
      <c r="RNZ38" s="10"/>
      <c r="ROA38" s="10"/>
      <c r="ROB38" s="239"/>
      <c r="ROJ38" s="241"/>
      <c r="ROK38" s="242"/>
      <c r="ROL38" s="243"/>
      <c r="ROM38" s="10"/>
      <c r="RON38" s="10"/>
      <c r="ROO38" s="239"/>
      <c r="ROW38" s="241"/>
      <c r="ROX38" s="242"/>
      <c r="ROY38" s="243"/>
      <c r="ROZ38" s="10"/>
      <c r="RPA38" s="10"/>
      <c r="RPB38" s="239"/>
      <c r="RPJ38" s="241"/>
      <c r="RPK38" s="242"/>
      <c r="RPL38" s="243"/>
      <c r="RPM38" s="10"/>
      <c r="RPN38" s="10"/>
      <c r="RPO38" s="239"/>
      <c r="RPW38" s="241"/>
      <c r="RPX38" s="242"/>
      <c r="RPY38" s="243"/>
      <c r="RPZ38" s="10"/>
      <c r="RQA38" s="10"/>
      <c r="RQB38" s="239"/>
      <c r="RQJ38" s="241"/>
      <c r="RQK38" s="242"/>
      <c r="RQL38" s="243"/>
      <c r="RQM38" s="10"/>
      <c r="RQN38" s="10"/>
      <c r="RQO38" s="239"/>
      <c r="RQW38" s="241"/>
      <c r="RQX38" s="242"/>
      <c r="RQY38" s="243"/>
      <c r="RQZ38" s="10"/>
      <c r="RRA38" s="10"/>
      <c r="RRB38" s="239"/>
      <c r="RRJ38" s="241"/>
      <c r="RRK38" s="242"/>
      <c r="RRL38" s="243"/>
      <c r="RRM38" s="10"/>
      <c r="RRN38" s="10"/>
      <c r="RRO38" s="239"/>
      <c r="RRW38" s="241"/>
      <c r="RRX38" s="242"/>
      <c r="RRY38" s="243"/>
      <c r="RRZ38" s="10"/>
      <c r="RSA38" s="10"/>
      <c r="RSB38" s="239"/>
      <c r="RSJ38" s="241"/>
      <c r="RSK38" s="242"/>
      <c r="RSL38" s="243"/>
      <c r="RSM38" s="10"/>
      <c r="RSN38" s="10"/>
      <c r="RSO38" s="239"/>
      <c r="RSW38" s="241"/>
      <c r="RSX38" s="242"/>
      <c r="RSY38" s="243"/>
      <c r="RSZ38" s="10"/>
      <c r="RTA38" s="10"/>
      <c r="RTB38" s="239"/>
      <c r="RTJ38" s="241"/>
      <c r="RTK38" s="242"/>
      <c r="RTL38" s="243"/>
      <c r="RTM38" s="10"/>
      <c r="RTN38" s="10"/>
      <c r="RTO38" s="239"/>
      <c r="RTW38" s="241"/>
      <c r="RTX38" s="242"/>
      <c r="RTY38" s="243"/>
      <c r="RTZ38" s="10"/>
      <c r="RUA38" s="10"/>
      <c r="RUB38" s="239"/>
      <c r="RUJ38" s="241"/>
      <c r="RUK38" s="242"/>
      <c r="RUL38" s="243"/>
      <c r="RUM38" s="10"/>
      <c r="RUN38" s="10"/>
      <c r="RUO38" s="239"/>
      <c r="RUW38" s="241"/>
      <c r="RUX38" s="242"/>
      <c r="RUY38" s="243"/>
      <c r="RUZ38" s="10"/>
      <c r="RVA38" s="10"/>
      <c r="RVB38" s="239"/>
      <c r="RVJ38" s="241"/>
      <c r="RVK38" s="242"/>
      <c r="RVL38" s="243"/>
      <c r="RVM38" s="10"/>
      <c r="RVN38" s="10"/>
      <c r="RVO38" s="239"/>
      <c r="RVW38" s="241"/>
      <c r="RVX38" s="242"/>
      <c r="RVY38" s="243"/>
      <c r="RVZ38" s="10"/>
      <c r="RWA38" s="10"/>
      <c r="RWB38" s="239"/>
      <c r="RWJ38" s="241"/>
      <c r="RWK38" s="242"/>
      <c r="RWL38" s="243"/>
      <c r="RWM38" s="10"/>
      <c r="RWN38" s="10"/>
      <c r="RWO38" s="239"/>
      <c r="RWW38" s="241"/>
      <c r="RWX38" s="242"/>
      <c r="RWY38" s="243"/>
      <c r="RWZ38" s="10"/>
      <c r="RXA38" s="10"/>
      <c r="RXB38" s="239"/>
      <c r="RXJ38" s="241"/>
      <c r="RXK38" s="242"/>
      <c r="RXL38" s="243"/>
      <c r="RXM38" s="10"/>
      <c r="RXN38" s="10"/>
      <c r="RXO38" s="239"/>
      <c r="RXW38" s="241"/>
      <c r="RXX38" s="242"/>
      <c r="RXY38" s="243"/>
      <c r="RXZ38" s="10"/>
      <c r="RYA38" s="10"/>
      <c r="RYB38" s="239"/>
      <c r="RYJ38" s="241"/>
      <c r="RYK38" s="242"/>
      <c r="RYL38" s="243"/>
      <c r="RYM38" s="10"/>
      <c r="RYN38" s="10"/>
      <c r="RYO38" s="239"/>
      <c r="RYW38" s="241"/>
      <c r="RYX38" s="242"/>
      <c r="RYY38" s="243"/>
      <c r="RYZ38" s="10"/>
      <c r="RZA38" s="10"/>
      <c r="RZB38" s="239"/>
      <c r="RZJ38" s="241"/>
      <c r="RZK38" s="242"/>
      <c r="RZL38" s="243"/>
      <c r="RZM38" s="10"/>
      <c r="RZN38" s="10"/>
      <c r="RZO38" s="239"/>
      <c r="RZW38" s="241"/>
      <c r="RZX38" s="242"/>
      <c r="RZY38" s="243"/>
      <c r="RZZ38" s="10"/>
      <c r="SAA38" s="10"/>
      <c r="SAB38" s="239"/>
      <c r="SAJ38" s="241"/>
      <c r="SAK38" s="242"/>
      <c r="SAL38" s="243"/>
      <c r="SAM38" s="10"/>
      <c r="SAN38" s="10"/>
      <c r="SAO38" s="239"/>
      <c r="SAW38" s="241"/>
      <c r="SAX38" s="242"/>
      <c r="SAY38" s="243"/>
      <c r="SAZ38" s="10"/>
      <c r="SBA38" s="10"/>
      <c r="SBB38" s="239"/>
      <c r="SBJ38" s="241"/>
      <c r="SBK38" s="242"/>
      <c r="SBL38" s="243"/>
      <c r="SBM38" s="10"/>
      <c r="SBN38" s="10"/>
      <c r="SBO38" s="239"/>
      <c r="SBW38" s="241"/>
      <c r="SBX38" s="242"/>
      <c r="SBY38" s="243"/>
      <c r="SBZ38" s="10"/>
      <c r="SCA38" s="10"/>
      <c r="SCB38" s="239"/>
      <c r="SCJ38" s="241"/>
      <c r="SCK38" s="242"/>
      <c r="SCL38" s="243"/>
      <c r="SCM38" s="10"/>
      <c r="SCN38" s="10"/>
      <c r="SCO38" s="239"/>
      <c r="SCW38" s="241"/>
      <c r="SCX38" s="242"/>
      <c r="SCY38" s="243"/>
      <c r="SCZ38" s="10"/>
      <c r="SDA38" s="10"/>
      <c r="SDB38" s="239"/>
      <c r="SDJ38" s="241"/>
      <c r="SDK38" s="242"/>
      <c r="SDL38" s="243"/>
      <c r="SDM38" s="10"/>
      <c r="SDN38" s="10"/>
      <c r="SDO38" s="239"/>
      <c r="SDW38" s="241"/>
      <c r="SDX38" s="242"/>
      <c r="SDY38" s="243"/>
      <c r="SDZ38" s="10"/>
      <c r="SEA38" s="10"/>
      <c r="SEB38" s="239"/>
      <c r="SEJ38" s="241"/>
      <c r="SEK38" s="242"/>
      <c r="SEL38" s="243"/>
      <c r="SEM38" s="10"/>
      <c r="SEN38" s="10"/>
      <c r="SEO38" s="239"/>
      <c r="SEW38" s="241"/>
      <c r="SEX38" s="242"/>
      <c r="SEY38" s="243"/>
      <c r="SEZ38" s="10"/>
      <c r="SFA38" s="10"/>
      <c r="SFB38" s="239"/>
      <c r="SFJ38" s="241"/>
      <c r="SFK38" s="242"/>
      <c r="SFL38" s="243"/>
      <c r="SFM38" s="10"/>
      <c r="SFN38" s="10"/>
      <c r="SFO38" s="239"/>
      <c r="SFW38" s="241"/>
      <c r="SFX38" s="242"/>
      <c r="SFY38" s="243"/>
      <c r="SFZ38" s="10"/>
      <c r="SGA38" s="10"/>
      <c r="SGB38" s="239"/>
      <c r="SGJ38" s="241"/>
      <c r="SGK38" s="242"/>
      <c r="SGL38" s="243"/>
      <c r="SGM38" s="10"/>
      <c r="SGN38" s="10"/>
      <c r="SGO38" s="239"/>
      <c r="SGW38" s="241"/>
      <c r="SGX38" s="242"/>
      <c r="SGY38" s="243"/>
      <c r="SGZ38" s="10"/>
      <c r="SHA38" s="10"/>
      <c r="SHB38" s="239"/>
      <c r="SHJ38" s="241"/>
      <c r="SHK38" s="242"/>
      <c r="SHL38" s="243"/>
      <c r="SHM38" s="10"/>
      <c r="SHN38" s="10"/>
      <c r="SHO38" s="239"/>
      <c r="SHW38" s="241"/>
      <c r="SHX38" s="242"/>
      <c r="SHY38" s="243"/>
      <c r="SHZ38" s="10"/>
      <c r="SIA38" s="10"/>
      <c r="SIB38" s="239"/>
      <c r="SIJ38" s="241"/>
      <c r="SIK38" s="242"/>
      <c r="SIL38" s="243"/>
      <c r="SIM38" s="10"/>
      <c r="SIN38" s="10"/>
      <c r="SIO38" s="239"/>
      <c r="SIW38" s="241"/>
      <c r="SIX38" s="242"/>
      <c r="SIY38" s="243"/>
      <c r="SIZ38" s="10"/>
      <c r="SJA38" s="10"/>
      <c r="SJB38" s="239"/>
      <c r="SJJ38" s="241"/>
      <c r="SJK38" s="242"/>
      <c r="SJL38" s="243"/>
      <c r="SJM38" s="10"/>
      <c r="SJN38" s="10"/>
      <c r="SJO38" s="239"/>
      <c r="SJW38" s="241"/>
      <c r="SJX38" s="242"/>
      <c r="SJY38" s="243"/>
      <c r="SJZ38" s="10"/>
      <c r="SKA38" s="10"/>
      <c r="SKB38" s="239"/>
      <c r="SKJ38" s="241"/>
      <c r="SKK38" s="242"/>
      <c r="SKL38" s="243"/>
      <c r="SKM38" s="10"/>
      <c r="SKN38" s="10"/>
      <c r="SKO38" s="239"/>
      <c r="SKW38" s="241"/>
      <c r="SKX38" s="242"/>
      <c r="SKY38" s="243"/>
      <c r="SKZ38" s="10"/>
      <c r="SLA38" s="10"/>
      <c r="SLB38" s="239"/>
      <c r="SLJ38" s="241"/>
      <c r="SLK38" s="242"/>
      <c r="SLL38" s="243"/>
      <c r="SLM38" s="10"/>
      <c r="SLN38" s="10"/>
      <c r="SLO38" s="239"/>
      <c r="SLW38" s="241"/>
      <c r="SLX38" s="242"/>
      <c r="SLY38" s="243"/>
      <c r="SLZ38" s="10"/>
      <c r="SMA38" s="10"/>
      <c r="SMB38" s="239"/>
      <c r="SMJ38" s="241"/>
      <c r="SMK38" s="242"/>
      <c r="SML38" s="243"/>
      <c r="SMM38" s="10"/>
      <c r="SMN38" s="10"/>
      <c r="SMO38" s="239"/>
      <c r="SMW38" s="241"/>
      <c r="SMX38" s="242"/>
      <c r="SMY38" s="243"/>
      <c r="SMZ38" s="10"/>
      <c r="SNA38" s="10"/>
      <c r="SNB38" s="239"/>
      <c r="SNJ38" s="241"/>
      <c r="SNK38" s="242"/>
      <c r="SNL38" s="243"/>
      <c r="SNM38" s="10"/>
      <c r="SNN38" s="10"/>
      <c r="SNO38" s="239"/>
      <c r="SNW38" s="241"/>
      <c r="SNX38" s="242"/>
      <c r="SNY38" s="243"/>
      <c r="SNZ38" s="10"/>
      <c r="SOA38" s="10"/>
      <c r="SOB38" s="239"/>
      <c r="SOJ38" s="241"/>
      <c r="SOK38" s="242"/>
      <c r="SOL38" s="243"/>
      <c r="SOM38" s="10"/>
      <c r="SON38" s="10"/>
      <c r="SOO38" s="239"/>
      <c r="SOW38" s="241"/>
      <c r="SOX38" s="242"/>
      <c r="SOY38" s="243"/>
      <c r="SOZ38" s="10"/>
      <c r="SPA38" s="10"/>
      <c r="SPB38" s="239"/>
      <c r="SPJ38" s="241"/>
      <c r="SPK38" s="242"/>
      <c r="SPL38" s="243"/>
      <c r="SPM38" s="10"/>
      <c r="SPN38" s="10"/>
      <c r="SPO38" s="239"/>
      <c r="SPW38" s="241"/>
      <c r="SPX38" s="242"/>
      <c r="SPY38" s="243"/>
      <c r="SPZ38" s="10"/>
      <c r="SQA38" s="10"/>
      <c r="SQB38" s="239"/>
      <c r="SQJ38" s="241"/>
      <c r="SQK38" s="242"/>
      <c r="SQL38" s="243"/>
      <c r="SQM38" s="10"/>
      <c r="SQN38" s="10"/>
      <c r="SQO38" s="239"/>
      <c r="SQW38" s="241"/>
      <c r="SQX38" s="242"/>
      <c r="SQY38" s="243"/>
      <c r="SQZ38" s="10"/>
      <c r="SRA38" s="10"/>
      <c r="SRB38" s="239"/>
      <c r="SRJ38" s="241"/>
      <c r="SRK38" s="242"/>
      <c r="SRL38" s="243"/>
      <c r="SRM38" s="10"/>
      <c r="SRN38" s="10"/>
      <c r="SRO38" s="239"/>
      <c r="SRW38" s="241"/>
      <c r="SRX38" s="242"/>
      <c r="SRY38" s="243"/>
      <c r="SRZ38" s="10"/>
      <c r="SSA38" s="10"/>
      <c r="SSB38" s="239"/>
      <c r="SSJ38" s="241"/>
      <c r="SSK38" s="242"/>
      <c r="SSL38" s="243"/>
      <c r="SSM38" s="10"/>
      <c r="SSN38" s="10"/>
      <c r="SSO38" s="239"/>
      <c r="SSW38" s="241"/>
      <c r="SSX38" s="242"/>
      <c r="SSY38" s="243"/>
      <c r="SSZ38" s="10"/>
      <c r="STA38" s="10"/>
      <c r="STB38" s="239"/>
      <c r="STJ38" s="241"/>
      <c r="STK38" s="242"/>
      <c r="STL38" s="243"/>
      <c r="STM38" s="10"/>
      <c r="STN38" s="10"/>
      <c r="STO38" s="239"/>
      <c r="STW38" s="241"/>
      <c r="STX38" s="242"/>
      <c r="STY38" s="243"/>
      <c r="STZ38" s="10"/>
      <c r="SUA38" s="10"/>
      <c r="SUB38" s="239"/>
      <c r="SUJ38" s="241"/>
      <c r="SUK38" s="242"/>
      <c r="SUL38" s="243"/>
      <c r="SUM38" s="10"/>
      <c r="SUN38" s="10"/>
      <c r="SUO38" s="239"/>
      <c r="SUW38" s="241"/>
      <c r="SUX38" s="242"/>
      <c r="SUY38" s="243"/>
      <c r="SUZ38" s="10"/>
      <c r="SVA38" s="10"/>
      <c r="SVB38" s="239"/>
      <c r="SVJ38" s="241"/>
      <c r="SVK38" s="242"/>
      <c r="SVL38" s="243"/>
      <c r="SVM38" s="10"/>
      <c r="SVN38" s="10"/>
      <c r="SVO38" s="239"/>
      <c r="SVW38" s="241"/>
      <c r="SVX38" s="242"/>
      <c r="SVY38" s="243"/>
      <c r="SVZ38" s="10"/>
      <c r="SWA38" s="10"/>
      <c r="SWB38" s="239"/>
      <c r="SWJ38" s="241"/>
      <c r="SWK38" s="242"/>
      <c r="SWL38" s="243"/>
      <c r="SWM38" s="10"/>
      <c r="SWN38" s="10"/>
      <c r="SWO38" s="239"/>
      <c r="SWW38" s="241"/>
      <c r="SWX38" s="242"/>
      <c r="SWY38" s="243"/>
      <c r="SWZ38" s="10"/>
      <c r="SXA38" s="10"/>
      <c r="SXB38" s="239"/>
      <c r="SXJ38" s="241"/>
      <c r="SXK38" s="242"/>
      <c r="SXL38" s="243"/>
      <c r="SXM38" s="10"/>
      <c r="SXN38" s="10"/>
      <c r="SXO38" s="239"/>
      <c r="SXW38" s="241"/>
      <c r="SXX38" s="242"/>
      <c r="SXY38" s="243"/>
      <c r="SXZ38" s="10"/>
      <c r="SYA38" s="10"/>
      <c r="SYB38" s="239"/>
      <c r="SYJ38" s="241"/>
      <c r="SYK38" s="242"/>
      <c r="SYL38" s="243"/>
      <c r="SYM38" s="10"/>
      <c r="SYN38" s="10"/>
      <c r="SYO38" s="239"/>
      <c r="SYW38" s="241"/>
      <c r="SYX38" s="242"/>
      <c r="SYY38" s="243"/>
      <c r="SYZ38" s="10"/>
      <c r="SZA38" s="10"/>
      <c r="SZB38" s="239"/>
      <c r="SZJ38" s="241"/>
      <c r="SZK38" s="242"/>
      <c r="SZL38" s="243"/>
      <c r="SZM38" s="10"/>
      <c r="SZN38" s="10"/>
      <c r="SZO38" s="239"/>
      <c r="SZW38" s="241"/>
      <c r="SZX38" s="242"/>
      <c r="SZY38" s="243"/>
      <c r="SZZ38" s="10"/>
      <c r="TAA38" s="10"/>
      <c r="TAB38" s="239"/>
      <c r="TAJ38" s="241"/>
      <c r="TAK38" s="242"/>
      <c r="TAL38" s="243"/>
      <c r="TAM38" s="10"/>
      <c r="TAN38" s="10"/>
      <c r="TAO38" s="239"/>
      <c r="TAW38" s="241"/>
      <c r="TAX38" s="242"/>
      <c r="TAY38" s="243"/>
      <c r="TAZ38" s="10"/>
      <c r="TBA38" s="10"/>
      <c r="TBB38" s="239"/>
      <c r="TBJ38" s="241"/>
      <c r="TBK38" s="242"/>
      <c r="TBL38" s="243"/>
      <c r="TBM38" s="10"/>
      <c r="TBN38" s="10"/>
      <c r="TBO38" s="239"/>
      <c r="TBW38" s="241"/>
      <c r="TBX38" s="242"/>
      <c r="TBY38" s="243"/>
      <c r="TBZ38" s="10"/>
      <c r="TCA38" s="10"/>
      <c r="TCB38" s="239"/>
      <c r="TCJ38" s="241"/>
      <c r="TCK38" s="242"/>
      <c r="TCL38" s="243"/>
      <c r="TCM38" s="10"/>
      <c r="TCN38" s="10"/>
      <c r="TCO38" s="239"/>
      <c r="TCW38" s="241"/>
      <c r="TCX38" s="242"/>
      <c r="TCY38" s="243"/>
      <c r="TCZ38" s="10"/>
      <c r="TDA38" s="10"/>
      <c r="TDB38" s="239"/>
      <c r="TDJ38" s="241"/>
      <c r="TDK38" s="242"/>
      <c r="TDL38" s="243"/>
      <c r="TDM38" s="10"/>
      <c r="TDN38" s="10"/>
      <c r="TDO38" s="239"/>
      <c r="TDW38" s="241"/>
      <c r="TDX38" s="242"/>
      <c r="TDY38" s="243"/>
      <c r="TDZ38" s="10"/>
      <c r="TEA38" s="10"/>
      <c r="TEB38" s="239"/>
      <c r="TEJ38" s="241"/>
      <c r="TEK38" s="242"/>
      <c r="TEL38" s="243"/>
      <c r="TEM38" s="10"/>
      <c r="TEN38" s="10"/>
      <c r="TEO38" s="239"/>
      <c r="TEW38" s="241"/>
      <c r="TEX38" s="242"/>
      <c r="TEY38" s="243"/>
      <c r="TEZ38" s="10"/>
      <c r="TFA38" s="10"/>
      <c r="TFB38" s="239"/>
      <c r="TFJ38" s="241"/>
      <c r="TFK38" s="242"/>
      <c r="TFL38" s="243"/>
      <c r="TFM38" s="10"/>
      <c r="TFN38" s="10"/>
      <c r="TFO38" s="239"/>
      <c r="TFW38" s="241"/>
      <c r="TFX38" s="242"/>
      <c r="TFY38" s="243"/>
      <c r="TFZ38" s="10"/>
      <c r="TGA38" s="10"/>
      <c r="TGB38" s="239"/>
      <c r="TGJ38" s="241"/>
      <c r="TGK38" s="242"/>
      <c r="TGL38" s="243"/>
      <c r="TGM38" s="10"/>
      <c r="TGN38" s="10"/>
      <c r="TGO38" s="239"/>
      <c r="TGW38" s="241"/>
      <c r="TGX38" s="242"/>
      <c r="TGY38" s="243"/>
      <c r="TGZ38" s="10"/>
      <c r="THA38" s="10"/>
      <c r="THB38" s="239"/>
      <c r="THJ38" s="241"/>
      <c r="THK38" s="242"/>
      <c r="THL38" s="243"/>
      <c r="THM38" s="10"/>
      <c r="THN38" s="10"/>
      <c r="THO38" s="239"/>
      <c r="THW38" s="241"/>
      <c r="THX38" s="242"/>
      <c r="THY38" s="243"/>
      <c r="THZ38" s="10"/>
      <c r="TIA38" s="10"/>
      <c r="TIB38" s="239"/>
      <c r="TIJ38" s="241"/>
      <c r="TIK38" s="242"/>
      <c r="TIL38" s="243"/>
      <c r="TIM38" s="10"/>
      <c r="TIN38" s="10"/>
      <c r="TIO38" s="239"/>
      <c r="TIW38" s="241"/>
      <c r="TIX38" s="242"/>
      <c r="TIY38" s="243"/>
      <c r="TIZ38" s="10"/>
      <c r="TJA38" s="10"/>
      <c r="TJB38" s="239"/>
      <c r="TJJ38" s="241"/>
      <c r="TJK38" s="242"/>
      <c r="TJL38" s="243"/>
      <c r="TJM38" s="10"/>
      <c r="TJN38" s="10"/>
      <c r="TJO38" s="239"/>
      <c r="TJW38" s="241"/>
      <c r="TJX38" s="242"/>
      <c r="TJY38" s="243"/>
      <c r="TJZ38" s="10"/>
      <c r="TKA38" s="10"/>
      <c r="TKB38" s="239"/>
      <c r="TKJ38" s="241"/>
      <c r="TKK38" s="242"/>
      <c r="TKL38" s="243"/>
      <c r="TKM38" s="10"/>
      <c r="TKN38" s="10"/>
      <c r="TKO38" s="239"/>
      <c r="TKW38" s="241"/>
      <c r="TKX38" s="242"/>
      <c r="TKY38" s="243"/>
      <c r="TKZ38" s="10"/>
      <c r="TLA38" s="10"/>
      <c r="TLB38" s="239"/>
      <c r="TLJ38" s="241"/>
      <c r="TLK38" s="242"/>
      <c r="TLL38" s="243"/>
      <c r="TLM38" s="10"/>
      <c r="TLN38" s="10"/>
      <c r="TLO38" s="239"/>
      <c r="TLW38" s="241"/>
      <c r="TLX38" s="242"/>
      <c r="TLY38" s="243"/>
      <c r="TLZ38" s="10"/>
      <c r="TMA38" s="10"/>
      <c r="TMB38" s="239"/>
      <c r="TMJ38" s="241"/>
      <c r="TMK38" s="242"/>
      <c r="TML38" s="243"/>
      <c r="TMM38" s="10"/>
      <c r="TMN38" s="10"/>
      <c r="TMO38" s="239"/>
      <c r="TMW38" s="241"/>
      <c r="TMX38" s="242"/>
      <c r="TMY38" s="243"/>
      <c r="TMZ38" s="10"/>
      <c r="TNA38" s="10"/>
      <c r="TNB38" s="239"/>
      <c r="TNJ38" s="241"/>
      <c r="TNK38" s="242"/>
      <c r="TNL38" s="243"/>
      <c r="TNM38" s="10"/>
      <c r="TNN38" s="10"/>
      <c r="TNO38" s="239"/>
      <c r="TNW38" s="241"/>
      <c r="TNX38" s="242"/>
      <c r="TNY38" s="243"/>
      <c r="TNZ38" s="10"/>
      <c r="TOA38" s="10"/>
      <c r="TOB38" s="239"/>
      <c r="TOJ38" s="241"/>
      <c r="TOK38" s="242"/>
      <c r="TOL38" s="243"/>
      <c r="TOM38" s="10"/>
      <c r="TON38" s="10"/>
      <c r="TOO38" s="239"/>
      <c r="TOW38" s="241"/>
      <c r="TOX38" s="242"/>
      <c r="TOY38" s="243"/>
      <c r="TOZ38" s="10"/>
      <c r="TPA38" s="10"/>
      <c r="TPB38" s="239"/>
      <c r="TPJ38" s="241"/>
      <c r="TPK38" s="242"/>
      <c r="TPL38" s="243"/>
      <c r="TPM38" s="10"/>
      <c r="TPN38" s="10"/>
      <c r="TPO38" s="239"/>
      <c r="TPW38" s="241"/>
      <c r="TPX38" s="242"/>
      <c r="TPY38" s="243"/>
      <c r="TPZ38" s="10"/>
      <c r="TQA38" s="10"/>
      <c r="TQB38" s="239"/>
      <c r="TQJ38" s="241"/>
      <c r="TQK38" s="242"/>
      <c r="TQL38" s="243"/>
      <c r="TQM38" s="10"/>
      <c r="TQN38" s="10"/>
      <c r="TQO38" s="239"/>
      <c r="TQW38" s="241"/>
      <c r="TQX38" s="242"/>
      <c r="TQY38" s="243"/>
      <c r="TQZ38" s="10"/>
      <c r="TRA38" s="10"/>
      <c r="TRB38" s="239"/>
      <c r="TRJ38" s="241"/>
      <c r="TRK38" s="242"/>
      <c r="TRL38" s="243"/>
      <c r="TRM38" s="10"/>
      <c r="TRN38" s="10"/>
      <c r="TRO38" s="239"/>
      <c r="TRW38" s="241"/>
      <c r="TRX38" s="242"/>
      <c r="TRY38" s="243"/>
      <c r="TRZ38" s="10"/>
      <c r="TSA38" s="10"/>
      <c r="TSB38" s="239"/>
      <c r="TSJ38" s="241"/>
      <c r="TSK38" s="242"/>
      <c r="TSL38" s="243"/>
      <c r="TSM38" s="10"/>
      <c r="TSN38" s="10"/>
      <c r="TSO38" s="239"/>
      <c r="TSW38" s="241"/>
      <c r="TSX38" s="242"/>
      <c r="TSY38" s="243"/>
      <c r="TSZ38" s="10"/>
      <c r="TTA38" s="10"/>
      <c r="TTB38" s="239"/>
      <c r="TTJ38" s="241"/>
      <c r="TTK38" s="242"/>
      <c r="TTL38" s="243"/>
      <c r="TTM38" s="10"/>
      <c r="TTN38" s="10"/>
      <c r="TTO38" s="239"/>
      <c r="TTW38" s="241"/>
      <c r="TTX38" s="242"/>
      <c r="TTY38" s="243"/>
      <c r="TTZ38" s="10"/>
      <c r="TUA38" s="10"/>
      <c r="TUB38" s="239"/>
      <c r="TUJ38" s="241"/>
      <c r="TUK38" s="242"/>
      <c r="TUL38" s="243"/>
      <c r="TUM38" s="10"/>
      <c r="TUN38" s="10"/>
      <c r="TUO38" s="239"/>
      <c r="TUW38" s="241"/>
      <c r="TUX38" s="242"/>
      <c r="TUY38" s="243"/>
      <c r="TUZ38" s="10"/>
      <c r="TVA38" s="10"/>
      <c r="TVB38" s="239"/>
      <c r="TVJ38" s="241"/>
      <c r="TVK38" s="242"/>
      <c r="TVL38" s="243"/>
      <c r="TVM38" s="10"/>
      <c r="TVN38" s="10"/>
      <c r="TVO38" s="239"/>
      <c r="TVW38" s="241"/>
      <c r="TVX38" s="242"/>
      <c r="TVY38" s="243"/>
      <c r="TVZ38" s="10"/>
      <c r="TWA38" s="10"/>
      <c r="TWB38" s="239"/>
      <c r="TWJ38" s="241"/>
      <c r="TWK38" s="242"/>
      <c r="TWL38" s="243"/>
      <c r="TWM38" s="10"/>
      <c r="TWN38" s="10"/>
      <c r="TWO38" s="239"/>
      <c r="TWW38" s="241"/>
      <c r="TWX38" s="242"/>
      <c r="TWY38" s="243"/>
      <c r="TWZ38" s="10"/>
      <c r="TXA38" s="10"/>
      <c r="TXB38" s="239"/>
      <c r="TXJ38" s="241"/>
      <c r="TXK38" s="242"/>
      <c r="TXL38" s="243"/>
      <c r="TXM38" s="10"/>
      <c r="TXN38" s="10"/>
      <c r="TXO38" s="239"/>
      <c r="TXW38" s="241"/>
      <c r="TXX38" s="242"/>
      <c r="TXY38" s="243"/>
      <c r="TXZ38" s="10"/>
      <c r="TYA38" s="10"/>
      <c r="TYB38" s="239"/>
      <c r="TYJ38" s="241"/>
      <c r="TYK38" s="242"/>
      <c r="TYL38" s="243"/>
      <c r="TYM38" s="10"/>
      <c r="TYN38" s="10"/>
      <c r="TYO38" s="239"/>
      <c r="TYW38" s="241"/>
      <c r="TYX38" s="242"/>
      <c r="TYY38" s="243"/>
      <c r="TYZ38" s="10"/>
      <c r="TZA38" s="10"/>
      <c r="TZB38" s="239"/>
      <c r="TZJ38" s="241"/>
      <c r="TZK38" s="242"/>
      <c r="TZL38" s="243"/>
      <c r="TZM38" s="10"/>
      <c r="TZN38" s="10"/>
      <c r="TZO38" s="239"/>
      <c r="TZW38" s="241"/>
      <c r="TZX38" s="242"/>
      <c r="TZY38" s="243"/>
      <c r="TZZ38" s="10"/>
      <c r="UAA38" s="10"/>
      <c r="UAB38" s="239"/>
      <c r="UAJ38" s="241"/>
      <c r="UAK38" s="242"/>
      <c r="UAL38" s="243"/>
      <c r="UAM38" s="10"/>
      <c r="UAN38" s="10"/>
      <c r="UAO38" s="239"/>
      <c r="UAW38" s="241"/>
      <c r="UAX38" s="242"/>
      <c r="UAY38" s="243"/>
      <c r="UAZ38" s="10"/>
      <c r="UBA38" s="10"/>
      <c r="UBB38" s="239"/>
      <c r="UBJ38" s="241"/>
      <c r="UBK38" s="242"/>
      <c r="UBL38" s="243"/>
      <c r="UBM38" s="10"/>
      <c r="UBN38" s="10"/>
      <c r="UBO38" s="239"/>
      <c r="UBW38" s="241"/>
      <c r="UBX38" s="242"/>
      <c r="UBY38" s="243"/>
      <c r="UBZ38" s="10"/>
      <c r="UCA38" s="10"/>
      <c r="UCB38" s="239"/>
      <c r="UCJ38" s="241"/>
      <c r="UCK38" s="242"/>
      <c r="UCL38" s="243"/>
      <c r="UCM38" s="10"/>
      <c r="UCN38" s="10"/>
      <c r="UCO38" s="239"/>
      <c r="UCW38" s="241"/>
      <c r="UCX38" s="242"/>
      <c r="UCY38" s="243"/>
      <c r="UCZ38" s="10"/>
      <c r="UDA38" s="10"/>
      <c r="UDB38" s="239"/>
      <c r="UDJ38" s="241"/>
      <c r="UDK38" s="242"/>
      <c r="UDL38" s="243"/>
      <c r="UDM38" s="10"/>
      <c r="UDN38" s="10"/>
      <c r="UDO38" s="239"/>
      <c r="UDW38" s="241"/>
      <c r="UDX38" s="242"/>
      <c r="UDY38" s="243"/>
      <c r="UDZ38" s="10"/>
      <c r="UEA38" s="10"/>
      <c r="UEB38" s="239"/>
      <c r="UEJ38" s="241"/>
      <c r="UEK38" s="242"/>
      <c r="UEL38" s="243"/>
      <c r="UEM38" s="10"/>
      <c r="UEN38" s="10"/>
      <c r="UEO38" s="239"/>
      <c r="UEW38" s="241"/>
      <c r="UEX38" s="242"/>
      <c r="UEY38" s="243"/>
      <c r="UEZ38" s="10"/>
      <c r="UFA38" s="10"/>
      <c r="UFB38" s="239"/>
      <c r="UFJ38" s="241"/>
      <c r="UFK38" s="242"/>
      <c r="UFL38" s="243"/>
      <c r="UFM38" s="10"/>
      <c r="UFN38" s="10"/>
      <c r="UFO38" s="239"/>
      <c r="UFW38" s="241"/>
      <c r="UFX38" s="242"/>
      <c r="UFY38" s="243"/>
      <c r="UFZ38" s="10"/>
      <c r="UGA38" s="10"/>
      <c r="UGB38" s="239"/>
      <c r="UGJ38" s="241"/>
      <c r="UGK38" s="242"/>
      <c r="UGL38" s="243"/>
      <c r="UGM38" s="10"/>
      <c r="UGN38" s="10"/>
      <c r="UGO38" s="239"/>
      <c r="UGW38" s="241"/>
      <c r="UGX38" s="242"/>
      <c r="UGY38" s="243"/>
      <c r="UGZ38" s="10"/>
      <c r="UHA38" s="10"/>
      <c r="UHB38" s="239"/>
      <c r="UHJ38" s="241"/>
      <c r="UHK38" s="242"/>
      <c r="UHL38" s="243"/>
      <c r="UHM38" s="10"/>
      <c r="UHN38" s="10"/>
      <c r="UHO38" s="239"/>
      <c r="UHW38" s="241"/>
      <c r="UHX38" s="242"/>
      <c r="UHY38" s="243"/>
      <c r="UHZ38" s="10"/>
      <c r="UIA38" s="10"/>
      <c r="UIB38" s="239"/>
      <c r="UIJ38" s="241"/>
      <c r="UIK38" s="242"/>
      <c r="UIL38" s="243"/>
      <c r="UIM38" s="10"/>
      <c r="UIN38" s="10"/>
      <c r="UIO38" s="239"/>
      <c r="UIW38" s="241"/>
      <c r="UIX38" s="242"/>
      <c r="UIY38" s="243"/>
      <c r="UIZ38" s="10"/>
      <c r="UJA38" s="10"/>
      <c r="UJB38" s="239"/>
      <c r="UJJ38" s="241"/>
      <c r="UJK38" s="242"/>
      <c r="UJL38" s="243"/>
      <c r="UJM38" s="10"/>
      <c r="UJN38" s="10"/>
      <c r="UJO38" s="239"/>
      <c r="UJW38" s="241"/>
      <c r="UJX38" s="242"/>
      <c r="UJY38" s="243"/>
      <c r="UJZ38" s="10"/>
      <c r="UKA38" s="10"/>
      <c r="UKB38" s="239"/>
      <c r="UKJ38" s="241"/>
      <c r="UKK38" s="242"/>
      <c r="UKL38" s="243"/>
      <c r="UKM38" s="10"/>
      <c r="UKN38" s="10"/>
      <c r="UKO38" s="239"/>
      <c r="UKW38" s="241"/>
      <c r="UKX38" s="242"/>
      <c r="UKY38" s="243"/>
      <c r="UKZ38" s="10"/>
      <c r="ULA38" s="10"/>
      <c r="ULB38" s="239"/>
      <c r="ULJ38" s="241"/>
      <c r="ULK38" s="242"/>
      <c r="ULL38" s="243"/>
      <c r="ULM38" s="10"/>
      <c r="ULN38" s="10"/>
      <c r="ULO38" s="239"/>
      <c r="ULW38" s="241"/>
      <c r="ULX38" s="242"/>
      <c r="ULY38" s="243"/>
      <c r="ULZ38" s="10"/>
      <c r="UMA38" s="10"/>
      <c r="UMB38" s="239"/>
      <c r="UMJ38" s="241"/>
      <c r="UMK38" s="242"/>
      <c r="UML38" s="243"/>
      <c r="UMM38" s="10"/>
      <c r="UMN38" s="10"/>
      <c r="UMO38" s="239"/>
      <c r="UMW38" s="241"/>
      <c r="UMX38" s="242"/>
      <c r="UMY38" s="243"/>
      <c r="UMZ38" s="10"/>
      <c r="UNA38" s="10"/>
      <c r="UNB38" s="239"/>
      <c r="UNJ38" s="241"/>
      <c r="UNK38" s="242"/>
      <c r="UNL38" s="243"/>
      <c r="UNM38" s="10"/>
      <c r="UNN38" s="10"/>
      <c r="UNO38" s="239"/>
      <c r="UNW38" s="241"/>
      <c r="UNX38" s="242"/>
      <c r="UNY38" s="243"/>
      <c r="UNZ38" s="10"/>
      <c r="UOA38" s="10"/>
      <c r="UOB38" s="239"/>
      <c r="UOJ38" s="241"/>
      <c r="UOK38" s="242"/>
      <c r="UOL38" s="243"/>
      <c r="UOM38" s="10"/>
      <c r="UON38" s="10"/>
      <c r="UOO38" s="239"/>
      <c r="UOW38" s="241"/>
      <c r="UOX38" s="242"/>
      <c r="UOY38" s="243"/>
      <c r="UOZ38" s="10"/>
      <c r="UPA38" s="10"/>
      <c r="UPB38" s="239"/>
      <c r="UPJ38" s="241"/>
      <c r="UPK38" s="242"/>
      <c r="UPL38" s="243"/>
      <c r="UPM38" s="10"/>
      <c r="UPN38" s="10"/>
      <c r="UPO38" s="239"/>
      <c r="UPW38" s="241"/>
      <c r="UPX38" s="242"/>
      <c r="UPY38" s="243"/>
      <c r="UPZ38" s="10"/>
      <c r="UQA38" s="10"/>
      <c r="UQB38" s="239"/>
      <c r="UQJ38" s="241"/>
      <c r="UQK38" s="242"/>
      <c r="UQL38" s="243"/>
      <c r="UQM38" s="10"/>
      <c r="UQN38" s="10"/>
      <c r="UQO38" s="239"/>
      <c r="UQW38" s="241"/>
      <c r="UQX38" s="242"/>
      <c r="UQY38" s="243"/>
      <c r="UQZ38" s="10"/>
      <c r="URA38" s="10"/>
      <c r="URB38" s="239"/>
      <c r="URJ38" s="241"/>
      <c r="URK38" s="242"/>
      <c r="URL38" s="243"/>
      <c r="URM38" s="10"/>
      <c r="URN38" s="10"/>
      <c r="URO38" s="239"/>
      <c r="URW38" s="241"/>
      <c r="URX38" s="242"/>
      <c r="URY38" s="243"/>
      <c r="URZ38" s="10"/>
      <c r="USA38" s="10"/>
      <c r="USB38" s="239"/>
      <c r="USJ38" s="241"/>
      <c r="USK38" s="242"/>
      <c r="USL38" s="243"/>
      <c r="USM38" s="10"/>
      <c r="USN38" s="10"/>
      <c r="USO38" s="239"/>
      <c r="USW38" s="241"/>
      <c r="USX38" s="242"/>
      <c r="USY38" s="243"/>
      <c r="USZ38" s="10"/>
      <c r="UTA38" s="10"/>
      <c r="UTB38" s="239"/>
      <c r="UTJ38" s="241"/>
      <c r="UTK38" s="242"/>
      <c r="UTL38" s="243"/>
      <c r="UTM38" s="10"/>
      <c r="UTN38" s="10"/>
      <c r="UTO38" s="239"/>
      <c r="UTW38" s="241"/>
      <c r="UTX38" s="242"/>
      <c r="UTY38" s="243"/>
      <c r="UTZ38" s="10"/>
      <c r="UUA38" s="10"/>
      <c r="UUB38" s="239"/>
      <c r="UUJ38" s="241"/>
      <c r="UUK38" s="242"/>
      <c r="UUL38" s="243"/>
      <c r="UUM38" s="10"/>
      <c r="UUN38" s="10"/>
      <c r="UUO38" s="239"/>
      <c r="UUW38" s="241"/>
      <c r="UUX38" s="242"/>
      <c r="UUY38" s="243"/>
      <c r="UUZ38" s="10"/>
      <c r="UVA38" s="10"/>
      <c r="UVB38" s="239"/>
      <c r="UVJ38" s="241"/>
      <c r="UVK38" s="242"/>
      <c r="UVL38" s="243"/>
      <c r="UVM38" s="10"/>
      <c r="UVN38" s="10"/>
      <c r="UVO38" s="239"/>
      <c r="UVW38" s="241"/>
      <c r="UVX38" s="242"/>
      <c r="UVY38" s="243"/>
      <c r="UVZ38" s="10"/>
      <c r="UWA38" s="10"/>
      <c r="UWB38" s="239"/>
      <c r="UWJ38" s="241"/>
      <c r="UWK38" s="242"/>
      <c r="UWL38" s="243"/>
      <c r="UWM38" s="10"/>
      <c r="UWN38" s="10"/>
      <c r="UWO38" s="239"/>
      <c r="UWW38" s="241"/>
      <c r="UWX38" s="242"/>
      <c r="UWY38" s="243"/>
      <c r="UWZ38" s="10"/>
      <c r="UXA38" s="10"/>
      <c r="UXB38" s="239"/>
      <c r="UXJ38" s="241"/>
      <c r="UXK38" s="242"/>
      <c r="UXL38" s="243"/>
      <c r="UXM38" s="10"/>
      <c r="UXN38" s="10"/>
      <c r="UXO38" s="239"/>
      <c r="UXW38" s="241"/>
      <c r="UXX38" s="242"/>
      <c r="UXY38" s="243"/>
      <c r="UXZ38" s="10"/>
      <c r="UYA38" s="10"/>
      <c r="UYB38" s="239"/>
      <c r="UYJ38" s="241"/>
      <c r="UYK38" s="242"/>
      <c r="UYL38" s="243"/>
      <c r="UYM38" s="10"/>
      <c r="UYN38" s="10"/>
      <c r="UYO38" s="239"/>
      <c r="UYW38" s="241"/>
      <c r="UYX38" s="242"/>
      <c r="UYY38" s="243"/>
      <c r="UYZ38" s="10"/>
      <c r="UZA38" s="10"/>
      <c r="UZB38" s="239"/>
      <c r="UZJ38" s="241"/>
      <c r="UZK38" s="242"/>
      <c r="UZL38" s="243"/>
      <c r="UZM38" s="10"/>
      <c r="UZN38" s="10"/>
      <c r="UZO38" s="239"/>
      <c r="UZW38" s="241"/>
      <c r="UZX38" s="242"/>
      <c r="UZY38" s="243"/>
      <c r="UZZ38" s="10"/>
      <c r="VAA38" s="10"/>
      <c r="VAB38" s="239"/>
      <c r="VAJ38" s="241"/>
      <c r="VAK38" s="242"/>
      <c r="VAL38" s="243"/>
      <c r="VAM38" s="10"/>
      <c r="VAN38" s="10"/>
      <c r="VAO38" s="239"/>
      <c r="VAW38" s="241"/>
      <c r="VAX38" s="242"/>
      <c r="VAY38" s="243"/>
      <c r="VAZ38" s="10"/>
      <c r="VBA38" s="10"/>
      <c r="VBB38" s="239"/>
      <c r="VBJ38" s="241"/>
      <c r="VBK38" s="242"/>
      <c r="VBL38" s="243"/>
      <c r="VBM38" s="10"/>
      <c r="VBN38" s="10"/>
      <c r="VBO38" s="239"/>
      <c r="VBW38" s="241"/>
      <c r="VBX38" s="242"/>
      <c r="VBY38" s="243"/>
      <c r="VBZ38" s="10"/>
      <c r="VCA38" s="10"/>
      <c r="VCB38" s="239"/>
      <c r="VCJ38" s="241"/>
      <c r="VCK38" s="242"/>
      <c r="VCL38" s="243"/>
      <c r="VCM38" s="10"/>
      <c r="VCN38" s="10"/>
      <c r="VCO38" s="239"/>
      <c r="VCW38" s="241"/>
      <c r="VCX38" s="242"/>
      <c r="VCY38" s="243"/>
      <c r="VCZ38" s="10"/>
      <c r="VDA38" s="10"/>
      <c r="VDB38" s="239"/>
      <c r="VDJ38" s="241"/>
      <c r="VDK38" s="242"/>
      <c r="VDL38" s="243"/>
      <c r="VDM38" s="10"/>
      <c r="VDN38" s="10"/>
      <c r="VDO38" s="239"/>
      <c r="VDW38" s="241"/>
      <c r="VDX38" s="242"/>
      <c r="VDY38" s="243"/>
      <c r="VDZ38" s="10"/>
      <c r="VEA38" s="10"/>
      <c r="VEB38" s="239"/>
      <c r="VEJ38" s="241"/>
      <c r="VEK38" s="242"/>
      <c r="VEL38" s="243"/>
      <c r="VEM38" s="10"/>
      <c r="VEN38" s="10"/>
      <c r="VEO38" s="239"/>
      <c r="VEW38" s="241"/>
      <c r="VEX38" s="242"/>
      <c r="VEY38" s="243"/>
      <c r="VEZ38" s="10"/>
      <c r="VFA38" s="10"/>
      <c r="VFB38" s="239"/>
      <c r="VFJ38" s="241"/>
      <c r="VFK38" s="242"/>
      <c r="VFL38" s="243"/>
      <c r="VFM38" s="10"/>
      <c r="VFN38" s="10"/>
      <c r="VFO38" s="239"/>
      <c r="VFW38" s="241"/>
      <c r="VFX38" s="242"/>
      <c r="VFY38" s="243"/>
      <c r="VFZ38" s="10"/>
      <c r="VGA38" s="10"/>
      <c r="VGB38" s="239"/>
      <c r="VGJ38" s="241"/>
      <c r="VGK38" s="242"/>
      <c r="VGL38" s="243"/>
      <c r="VGM38" s="10"/>
      <c r="VGN38" s="10"/>
      <c r="VGO38" s="239"/>
      <c r="VGW38" s="241"/>
      <c r="VGX38" s="242"/>
      <c r="VGY38" s="243"/>
      <c r="VGZ38" s="10"/>
      <c r="VHA38" s="10"/>
      <c r="VHB38" s="239"/>
      <c r="VHJ38" s="241"/>
      <c r="VHK38" s="242"/>
      <c r="VHL38" s="243"/>
      <c r="VHM38" s="10"/>
      <c r="VHN38" s="10"/>
      <c r="VHO38" s="239"/>
      <c r="VHW38" s="241"/>
      <c r="VHX38" s="242"/>
      <c r="VHY38" s="243"/>
      <c r="VHZ38" s="10"/>
      <c r="VIA38" s="10"/>
      <c r="VIB38" s="239"/>
      <c r="VIJ38" s="241"/>
      <c r="VIK38" s="242"/>
      <c r="VIL38" s="243"/>
      <c r="VIM38" s="10"/>
      <c r="VIN38" s="10"/>
      <c r="VIO38" s="239"/>
      <c r="VIW38" s="241"/>
      <c r="VIX38" s="242"/>
      <c r="VIY38" s="243"/>
      <c r="VIZ38" s="10"/>
      <c r="VJA38" s="10"/>
      <c r="VJB38" s="239"/>
      <c r="VJJ38" s="241"/>
      <c r="VJK38" s="242"/>
      <c r="VJL38" s="243"/>
      <c r="VJM38" s="10"/>
      <c r="VJN38" s="10"/>
      <c r="VJO38" s="239"/>
      <c r="VJW38" s="241"/>
      <c r="VJX38" s="242"/>
      <c r="VJY38" s="243"/>
      <c r="VJZ38" s="10"/>
      <c r="VKA38" s="10"/>
      <c r="VKB38" s="239"/>
      <c r="VKJ38" s="241"/>
      <c r="VKK38" s="242"/>
      <c r="VKL38" s="243"/>
      <c r="VKM38" s="10"/>
      <c r="VKN38" s="10"/>
      <c r="VKO38" s="239"/>
      <c r="VKW38" s="241"/>
      <c r="VKX38" s="242"/>
      <c r="VKY38" s="243"/>
      <c r="VKZ38" s="10"/>
      <c r="VLA38" s="10"/>
      <c r="VLB38" s="239"/>
      <c r="VLJ38" s="241"/>
      <c r="VLK38" s="242"/>
      <c r="VLL38" s="243"/>
      <c r="VLM38" s="10"/>
      <c r="VLN38" s="10"/>
      <c r="VLO38" s="239"/>
      <c r="VLW38" s="241"/>
      <c r="VLX38" s="242"/>
      <c r="VLY38" s="243"/>
      <c r="VLZ38" s="10"/>
      <c r="VMA38" s="10"/>
      <c r="VMB38" s="239"/>
      <c r="VMJ38" s="241"/>
      <c r="VMK38" s="242"/>
      <c r="VML38" s="243"/>
      <c r="VMM38" s="10"/>
      <c r="VMN38" s="10"/>
      <c r="VMO38" s="239"/>
      <c r="VMW38" s="241"/>
      <c r="VMX38" s="242"/>
      <c r="VMY38" s="243"/>
      <c r="VMZ38" s="10"/>
      <c r="VNA38" s="10"/>
      <c r="VNB38" s="239"/>
      <c r="VNJ38" s="241"/>
      <c r="VNK38" s="242"/>
      <c r="VNL38" s="243"/>
      <c r="VNM38" s="10"/>
      <c r="VNN38" s="10"/>
      <c r="VNO38" s="239"/>
      <c r="VNW38" s="241"/>
      <c r="VNX38" s="242"/>
      <c r="VNY38" s="243"/>
      <c r="VNZ38" s="10"/>
      <c r="VOA38" s="10"/>
      <c r="VOB38" s="239"/>
      <c r="VOJ38" s="241"/>
      <c r="VOK38" s="242"/>
      <c r="VOL38" s="243"/>
      <c r="VOM38" s="10"/>
      <c r="VON38" s="10"/>
      <c r="VOO38" s="239"/>
      <c r="VOW38" s="241"/>
      <c r="VOX38" s="242"/>
      <c r="VOY38" s="243"/>
      <c r="VOZ38" s="10"/>
      <c r="VPA38" s="10"/>
      <c r="VPB38" s="239"/>
      <c r="VPJ38" s="241"/>
      <c r="VPK38" s="242"/>
      <c r="VPL38" s="243"/>
      <c r="VPM38" s="10"/>
      <c r="VPN38" s="10"/>
      <c r="VPO38" s="239"/>
      <c r="VPW38" s="241"/>
      <c r="VPX38" s="242"/>
      <c r="VPY38" s="243"/>
      <c r="VPZ38" s="10"/>
      <c r="VQA38" s="10"/>
      <c r="VQB38" s="239"/>
      <c r="VQJ38" s="241"/>
      <c r="VQK38" s="242"/>
      <c r="VQL38" s="243"/>
      <c r="VQM38" s="10"/>
      <c r="VQN38" s="10"/>
      <c r="VQO38" s="239"/>
      <c r="VQW38" s="241"/>
      <c r="VQX38" s="242"/>
      <c r="VQY38" s="243"/>
      <c r="VQZ38" s="10"/>
      <c r="VRA38" s="10"/>
      <c r="VRB38" s="239"/>
      <c r="VRJ38" s="241"/>
      <c r="VRK38" s="242"/>
      <c r="VRL38" s="243"/>
      <c r="VRM38" s="10"/>
      <c r="VRN38" s="10"/>
      <c r="VRO38" s="239"/>
      <c r="VRW38" s="241"/>
      <c r="VRX38" s="242"/>
      <c r="VRY38" s="243"/>
      <c r="VRZ38" s="10"/>
      <c r="VSA38" s="10"/>
      <c r="VSB38" s="239"/>
      <c r="VSJ38" s="241"/>
      <c r="VSK38" s="242"/>
      <c r="VSL38" s="243"/>
      <c r="VSM38" s="10"/>
      <c r="VSN38" s="10"/>
      <c r="VSO38" s="239"/>
      <c r="VSW38" s="241"/>
      <c r="VSX38" s="242"/>
      <c r="VSY38" s="243"/>
      <c r="VSZ38" s="10"/>
      <c r="VTA38" s="10"/>
      <c r="VTB38" s="239"/>
      <c r="VTJ38" s="241"/>
      <c r="VTK38" s="242"/>
      <c r="VTL38" s="243"/>
      <c r="VTM38" s="10"/>
      <c r="VTN38" s="10"/>
      <c r="VTO38" s="239"/>
      <c r="VTW38" s="241"/>
      <c r="VTX38" s="242"/>
      <c r="VTY38" s="243"/>
      <c r="VTZ38" s="10"/>
      <c r="VUA38" s="10"/>
      <c r="VUB38" s="239"/>
      <c r="VUJ38" s="241"/>
      <c r="VUK38" s="242"/>
      <c r="VUL38" s="243"/>
      <c r="VUM38" s="10"/>
      <c r="VUN38" s="10"/>
      <c r="VUO38" s="239"/>
      <c r="VUW38" s="241"/>
      <c r="VUX38" s="242"/>
      <c r="VUY38" s="243"/>
      <c r="VUZ38" s="10"/>
      <c r="VVA38" s="10"/>
      <c r="VVB38" s="239"/>
      <c r="VVJ38" s="241"/>
      <c r="VVK38" s="242"/>
      <c r="VVL38" s="243"/>
      <c r="VVM38" s="10"/>
      <c r="VVN38" s="10"/>
      <c r="VVO38" s="239"/>
      <c r="VVW38" s="241"/>
      <c r="VVX38" s="242"/>
      <c r="VVY38" s="243"/>
      <c r="VVZ38" s="10"/>
      <c r="VWA38" s="10"/>
      <c r="VWB38" s="239"/>
      <c r="VWJ38" s="241"/>
      <c r="VWK38" s="242"/>
      <c r="VWL38" s="243"/>
      <c r="VWM38" s="10"/>
      <c r="VWN38" s="10"/>
      <c r="VWO38" s="239"/>
      <c r="VWW38" s="241"/>
      <c r="VWX38" s="242"/>
      <c r="VWY38" s="243"/>
      <c r="VWZ38" s="10"/>
      <c r="VXA38" s="10"/>
      <c r="VXB38" s="239"/>
      <c r="VXJ38" s="241"/>
      <c r="VXK38" s="242"/>
      <c r="VXL38" s="243"/>
      <c r="VXM38" s="10"/>
      <c r="VXN38" s="10"/>
      <c r="VXO38" s="239"/>
      <c r="VXW38" s="241"/>
      <c r="VXX38" s="242"/>
      <c r="VXY38" s="243"/>
      <c r="VXZ38" s="10"/>
      <c r="VYA38" s="10"/>
      <c r="VYB38" s="239"/>
      <c r="VYJ38" s="241"/>
      <c r="VYK38" s="242"/>
      <c r="VYL38" s="243"/>
      <c r="VYM38" s="10"/>
      <c r="VYN38" s="10"/>
      <c r="VYO38" s="239"/>
      <c r="VYW38" s="241"/>
      <c r="VYX38" s="242"/>
      <c r="VYY38" s="243"/>
      <c r="VYZ38" s="10"/>
      <c r="VZA38" s="10"/>
      <c r="VZB38" s="239"/>
      <c r="VZJ38" s="241"/>
      <c r="VZK38" s="242"/>
      <c r="VZL38" s="243"/>
      <c r="VZM38" s="10"/>
      <c r="VZN38" s="10"/>
      <c r="VZO38" s="239"/>
      <c r="VZW38" s="241"/>
      <c r="VZX38" s="242"/>
      <c r="VZY38" s="243"/>
      <c r="VZZ38" s="10"/>
      <c r="WAA38" s="10"/>
      <c r="WAB38" s="239"/>
      <c r="WAJ38" s="241"/>
      <c r="WAK38" s="242"/>
      <c r="WAL38" s="243"/>
      <c r="WAM38" s="10"/>
      <c r="WAN38" s="10"/>
      <c r="WAO38" s="239"/>
      <c r="WAW38" s="241"/>
      <c r="WAX38" s="242"/>
      <c r="WAY38" s="243"/>
      <c r="WAZ38" s="10"/>
      <c r="WBA38" s="10"/>
      <c r="WBB38" s="239"/>
      <c r="WBJ38" s="241"/>
      <c r="WBK38" s="242"/>
      <c r="WBL38" s="243"/>
      <c r="WBM38" s="10"/>
      <c r="WBN38" s="10"/>
      <c r="WBO38" s="239"/>
      <c r="WBW38" s="241"/>
      <c r="WBX38" s="242"/>
      <c r="WBY38" s="243"/>
      <c r="WBZ38" s="10"/>
      <c r="WCA38" s="10"/>
      <c r="WCB38" s="239"/>
      <c r="WCJ38" s="241"/>
      <c r="WCK38" s="242"/>
      <c r="WCL38" s="243"/>
      <c r="WCM38" s="10"/>
      <c r="WCN38" s="10"/>
      <c r="WCO38" s="239"/>
      <c r="WCW38" s="241"/>
      <c r="WCX38" s="242"/>
      <c r="WCY38" s="243"/>
      <c r="WCZ38" s="10"/>
      <c r="WDA38" s="10"/>
      <c r="WDB38" s="239"/>
      <c r="WDJ38" s="241"/>
      <c r="WDK38" s="242"/>
      <c r="WDL38" s="243"/>
      <c r="WDM38" s="10"/>
      <c r="WDN38" s="10"/>
      <c r="WDO38" s="239"/>
      <c r="WDW38" s="241"/>
      <c r="WDX38" s="242"/>
      <c r="WDY38" s="243"/>
      <c r="WDZ38" s="10"/>
      <c r="WEA38" s="10"/>
      <c r="WEB38" s="239"/>
      <c r="WEJ38" s="241"/>
      <c r="WEK38" s="242"/>
      <c r="WEL38" s="243"/>
      <c r="WEM38" s="10"/>
      <c r="WEN38" s="10"/>
      <c r="WEO38" s="239"/>
      <c r="WEW38" s="241"/>
      <c r="WEX38" s="242"/>
      <c r="WEY38" s="243"/>
      <c r="WEZ38" s="10"/>
      <c r="WFA38" s="10"/>
      <c r="WFB38" s="239"/>
      <c r="WFJ38" s="241"/>
      <c r="WFK38" s="242"/>
      <c r="WFL38" s="243"/>
      <c r="WFM38" s="10"/>
      <c r="WFN38" s="10"/>
      <c r="WFO38" s="239"/>
      <c r="WFW38" s="241"/>
      <c r="WFX38" s="242"/>
      <c r="WFY38" s="243"/>
      <c r="WFZ38" s="10"/>
      <c r="WGA38" s="10"/>
      <c r="WGB38" s="239"/>
      <c r="WGJ38" s="241"/>
      <c r="WGK38" s="242"/>
      <c r="WGL38" s="243"/>
      <c r="WGM38" s="10"/>
      <c r="WGN38" s="10"/>
      <c r="WGO38" s="239"/>
      <c r="WGW38" s="241"/>
      <c r="WGX38" s="242"/>
      <c r="WGY38" s="243"/>
      <c r="WGZ38" s="10"/>
      <c r="WHA38" s="10"/>
      <c r="WHB38" s="239"/>
      <c r="WHJ38" s="241"/>
      <c r="WHK38" s="242"/>
      <c r="WHL38" s="243"/>
      <c r="WHM38" s="10"/>
      <c r="WHN38" s="10"/>
      <c r="WHO38" s="239"/>
      <c r="WHW38" s="241"/>
      <c r="WHX38" s="242"/>
      <c r="WHY38" s="243"/>
      <c r="WHZ38" s="10"/>
      <c r="WIA38" s="10"/>
      <c r="WIB38" s="239"/>
      <c r="WIJ38" s="241"/>
      <c r="WIK38" s="242"/>
      <c r="WIL38" s="243"/>
      <c r="WIM38" s="10"/>
      <c r="WIN38" s="10"/>
      <c r="WIO38" s="239"/>
      <c r="WIW38" s="241"/>
      <c r="WIX38" s="242"/>
      <c r="WIY38" s="243"/>
      <c r="WIZ38" s="10"/>
      <c r="WJA38" s="10"/>
      <c r="WJB38" s="239"/>
      <c r="WJJ38" s="241"/>
      <c r="WJK38" s="242"/>
      <c r="WJL38" s="243"/>
      <c r="WJM38" s="10"/>
      <c r="WJN38" s="10"/>
      <c r="WJO38" s="239"/>
      <c r="WJW38" s="241"/>
      <c r="WJX38" s="242"/>
      <c r="WJY38" s="243"/>
      <c r="WJZ38" s="10"/>
      <c r="WKA38" s="10"/>
      <c r="WKB38" s="239"/>
      <c r="WKJ38" s="241"/>
      <c r="WKK38" s="242"/>
      <c r="WKL38" s="243"/>
      <c r="WKM38" s="10"/>
      <c r="WKN38" s="10"/>
      <c r="WKO38" s="239"/>
      <c r="WKW38" s="241"/>
      <c r="WKX38" s="242"/>
      <c r="WKY38" s="243"/>
      <c r="WKZ38" s="10"/>
      <c r="WLA38" s="10"/>
      <c r="WLB38" s="239"/>
      <c r="WLJ38" s="241"/>
      <c r="WLK38" s="242"/>
      <c r="WLL38" s="243"/>
      <c r="WLM38" s="10"/>
      <c r="WLN38" s="10"/>
      <c r="WLO38" s="239"/>
      <c r="WLW38" s="241"/>
      <c r="WLX38" s="242"/>
      <c r="WLY38" s="243"/>
      <c r="WLZ38" s="10"/>
      <c r="WMA38" s="10"/>
      <c r="WMB38" s="239"/>
      <c r="WMJ38" s="241"/>
      <c r="WMK38" s="242"/>
      <c r="WML38" s="243"/>
      <c r="WMM38" s="10"/>
      <c r="WMN38" s="10"/>
      <c r="WMO38" s="239"/>
      <c r="WMW38" s="241"/>
      <c r="WMX38" s="242"/>
      <c r="WMY38" s="243"/>
      <c r="WMZ38" s="10"/>
      <c r="WNA38" s="10"/>
      <c r="WNB38" s="239"/>
      <c r="WNJ38" s="241"/>
      <c r="WNK38" s="242"/>
      <c r="WNL38" s="243"/>
      <c r="WNM38" s="10"/>
      <c r="WNN38" s="10"/>
      <c r="WNO38" s="239"/>
      <c r="WNW38" s="241"/>
      <c r="WNX38" s="242"/>
      <c r="WNY38" s="243"/>
      <c r="WNZ38" s="10"/>
      <c r="WOA38" s="10"/>
      <c r="WOB38" s="239"/>
      <c r="WOJ38" s="241"/>
      <c r="WOK38" s="242"/>
      <c r="WOL38" s="243"/>
      <c r="WOM38" s="10"/>
      <c r="WON38" s="10"/>
      <c r="WOO38" s="239"/>
      <c r="WOW38" s="241"/>
      <c r="WOX38" s="242"/>
      <c r="WOY38" s="243"/>
      <c r="WOZ38" s="10"/>
      <c r="WPA38" s="10"/>
      <c r="WPB38" s="239"/>
      <c r="WPJ38" s="241"/>
      <c r="WPK38" s="242"/>
      <c r="WPL38" s="243"/>
      <c r="WPM38" s="10"/>
      <c r="WPN38" s="10"/>
      <c r="WPO38" s="239"/>
      <c r="WPW38" s="241"/>
      <c r="WPX38" s="242"/>
      <c r="WPY38" s="243"/>
      <c r="WPZ38" s="10"/>
      <c r="WQA38" s="10"/>
      <c r="WQB38" s="239"/>
      <c r="WQJ38" s="241"/>
      <c r="WQK38" s="242"/>
      <c r="WQL38" s="243"/>
      <c r="WQM38" s="10"/>
      <c r="WQN38" s="10"/>
      <c r="WQO38" s="239"/>
      <c r="WQW38" s="241"/>
      <c r="WQX38" s="242"/>
      <c r="WQY38" s="243"/>
      <c r="WQZ38" s="10"/>
      <c r="WRA38" s="10"/>
      <c r="WRB38" s="239"/>
      <c r="WRJ38" s="241"/>
      <c r="WRK38" s="242"/>
      <c r="WRL38" s="243"/>
      <c r="WRM38" s="10"/>
      <c r="WRN38" s="10"/>
      <c r="WRO38" s="239"/>
      <c r="WRW38" s="241"/>
      <c r="WRX38" s="242"/>
      <c r="WRY38" s="243"/>
      <c r="WRZ38" s="10"/>
      <c r="WSA38" s="10"/>
      <c r="WSB38" s="239"/>
      <c r="WSJ38" s="241"/>
      <c r="WSK38" s="242"/>
      <c r="WSL38" s="243"/>
      <c r="WSM38" s="10"/>
      <c r="WSN38" s="10"/>
      <c r="WSO38" s="239"/>
      <c r="WSW38" s="241"/>
      <c r="WSX38" s="242"/>
      <c r="WSY38" s="243"/>
      <c r="WSZ38" s="10"/>
      <c r="WTA38" s="10"/>
      <c r="WTB38" s="239"/>
      <c r="WTJ38" s="241"/>
      <c r="WTK38" s="242"/>
      <c r="WTL38" s="243"/>
      <c r="WTM38" s="10"/>
      <c r="WTN38" s="10"/>
      <c r="WTO38" s="239"/>
      <c r="WTW38" s="241"/>
      <c r="WTX38" s="242"/>
      <c r="WTY38" s="243"/>
      <c r="WTZ38" s="10"/>
      <c r="WUA38" s="10"/>
      <c r="WUB38" s="239"/>
      <c r="WUJ38" s="241"/>
      <c r="WUK38" s="242"/>
      <c r="WUL38" s="243"/>
      <c r="WUM38" s="10"/>
      <c r="WUN38" s="10"/>
      <c r="WUO38" s="239"/>
      <c r="WUW38" s="241"/>
      <c r="WUX38" s="242"/>
      <c r="WUY38" s="243"/>
      <c r="WUZ38" s="10"/>
      <c r="WVA38" s="10"/>
      <c r="WVB38" s="239"/>
      <c r="WVJ38" s="241"/>
      <c r="WVK38" s="242"/>
      <c r="WVL38" s="243"/>
      <c r="WVM38" s="10"/>
      <c r="WVN38" s="10"/>
      <c r="WVO38" s="239"/>
      <c r="WVW38" s="241"/>
      <c r="WVX38" s="242"/>
      <c r="WVY38" s="243"/>
      <c r="WVZ38" s="10"/>
      <c r="WWA38" s="10"/>
      <c r="WWB38" s="239"/>
      <c r="WWJ38" s="241"/>
      <c r="WWK38" s="242"/>
      <c r="WWL38" s="243"/>
      <c r="WWM38" s="10"/>
      <c r="WWN38" s="10"/>
      <c r="WWO38" s="239"/>
      <c r="WWW38" s="241"/>
      <c r="WWX38" s="242"/>
      <c r="WWY38" s="243"/>
      <c r="WWZ38" s="10"/>
      <c r="WXA38" s="10"/>
      <c r="WXB38" s="239"/>
      <c r="WXJ38" s="241"/>
      <c r="WXK38" s="242"/>
      <c r="WXL38" s="243"/>
      <c r="WXM38" s="10"/>
      <c r="WXN38" s="10"/>
      <c r="WXO38" s="239"/>
      <c r="WXW38" s="241"/>
      <c r="WXX38" s="242"/>
      <c r="WXY38" s="243"/>
      <c r="WXZ38" s="10"/>
      <c r="WYA38" s="10"/>
      <c r="WYB38" s="239"/>
      <c r="WYJ38" s="241"/>
      <c r="WYK38" s="242"/>
      <c r="WYL38" s="243"/>
      <c r="WYM38" s="10"/>
      <c r="WYN38" s="10"/>
      <c r="WYO38" s="239"/>
      <c r="WYW38" s="241"/>
      <c r="WYX38" s="242"/>
      <c r="WYY38" s="243"/>
      <c r="WYZ38" s="10"/>
      <c r="WZA38" s="10"/>
      <c r="WZB38" s="239"/>
      <c r="WZJ38" s="241"/>
      <c r="WZK38" s="242"/>
      <c r="WZL38" s="243"/>
      <c r="WZM38" s="10"/>
      <c r="WZN38" s="10"/>
      <c r="WZO38" s="239"/>
      <c r="WZW38" s="241"/>
      <c r="WZX38" s="242"/>
      <c r="WZY38" s="243"/>
      <c r="WZZ38" s="10"/>
      <c r="XAA38" s="10"/>
      <c r="XAB38" s="239"/>
      <c r="XAJ38" s="241"/>
      <c r="XAK38" s="242"/>
      <c r="XAL38" s="243"/>
      <c r="XAM38" s="10"/>
      <c r="XAN38" s="10"/>
      <c r="XAO38" s="239"/>
      <c r="XAW38" s="241"/>
      <c r="XAX38" s="242"/>
      <c r="XAY38" s="243"/>
      <c r="XAZ38" s="10"/>
      <c r="XBA38" s="10"/>
      <c r="XBB38" s="239"/>
      <c r="XBJ38" s="241"/>
      <c r="XBK38" s="242"/>
      <c r="XBL38" s="243"/>
      <c r="XBM38" s="10"/>
      <c r="XBN38" s="10"/>
      <c r="XBO38" s="239"/>
      <c r="XBW38" s="241"/>
      <c r="XBX38" s="242"/>
      <c r="XBY38" s="243"/>
      <c r="XBZ38" s="10"/>
      <c r="XCA38" s="10"/>
      <c r="XCB38" s="239"/>
      <c r="XCJ38" s="241"/>
      <c r="XCK38" s="242"/>
      <c r="XCL38" s="243"/>
      <c r="XCM38" s="10"/>
      <c r="XCN38" s="10"/>
      <c r="XCO38" s="239"/>
      <c r="XCW38" s="241"/>
      <c r="XCX38" s="242"/>
      <c r="XCY38" s="243"/>
      <c r="XCZ38" s="10"/>
      <c r="XDA38" s="10"/>
      <c r="XDB38" s="239"/>
      <c r="XDJ38" s="241"/>
      <c r="XDK38" s="242"/>
      <c r="XDL38" s="243"/>
      <c r="XDM38" s="10"/>
      <c r="XDN38" s="10"/>
      <c r="XDO38" s="239"/>
      <c r="XDW38" s="241"/>
      <c r="XDX38" s="242"/>
      <c r="XDY38" s="243"/>
      <c r="XDZ38" s="10"/>
      <c r="XEA38" s="10"/>
      <c r="XEB38" s="239"/>
      <c r="XEJ38" s="241"/>
      <c r="XEK38" s="242"/>
      <c r="XEL38" s="243"/>
      <c r="XEM38" s="10"/>
      <c r="XEN38" s="10"/>
      <c r="XEO38" s="239"/>
      <c r="XEW38" s="241"/>
      <c r="XEX38" s="242"/>
      <c r="XEY38" s="243"/>
      <c r="XEZ38" s="10"/>
      <c r="XFA38" s="10"/>
      <c r="XFB38" s="239"/>
    </row>
    <row r="39" spans="1:2043 2051:3070 3078:6138 6146:7165 7173:8192 8200:10233 10241:11260 11268:12287 12295:15355 15363:16382" ht="24.95" hidden="1" customHeight="1">
      <c r="A39" s="10"/>
      <c r="B39" s="131"/>
      <c r="C39" s="426"/>
      <c r="D39" s="427"/>
      <c r="E39" s="427"/>
      <c r="F39" s="427"/>
      <c r="G39" s="427"/>
      <c r="H39" s="427"/>
      <c r="I39" s="428"/>
      <c r="J39" s="100"/>
      <c r="K39" s="429"/>
      <c r="L39" s="430"/>
      <c r="M39" s="10"/>
      <c r="N39" s="176"/>
      <c r="P39" s="171"/>
      <c r="Q39" s="55"/>
      <c r="R39" s="164"/>
      <c r="S39" s="231"/>
    </row>
    <row r="40" spans="1:2043 2051:3070 3078:6138 6146:7165 7173:8192 8200:10233 10241:11260 11268:12287 12295:15355 15363:16382" ht="15" hidden="1" customHeight="1">
      <c r="A40" s="10"/>
      <c r="B40" s="122"/>
      <c r="C40" s="389"/>
      <c r="D40" s="390"/>
      <c r="E40" s="390"/>
      <c r="F40" s="390"/>
      <c r="G40" s="390"/>
      <c r="H40" s="390"/>
      <c r="I40" s="391"/>
      <c r="J40" s="48"/>
      <c r="K40" s="403"/>
      <c r="L40" s="404"/>
      <c r="M40" s="10"/>
      <c r="N40" s="176"/>
      <c r="Q40" s="55"/>
      <c r="R40" s="164"/>
      <c r="S40" s="231"/>
    </row>
    <row r="41" spans="1:2043 2051:3070 3078:6138 6146:7165 7173:8192 8200:10233 10241:11260 11268:12287 12295:15355 15363:16382" ht="24.95" hidden="1" customHeight="1">
      <c r="A41" s="13"/>
      <c r="B41" s="109"/>
      <c r="C41" s="419"/>
      <c r="D41" s="420"/>
      <c r="E41" s="420"/>
      <c r="F41" s="420"/>
      <c r="G41" s="420"/>
      <c r="H41" s="420"/>
      <c r="I41" s="421"/>
      <c r="J41" s="110"/>
      <c r="K41" s="422"/>
      <c r="L41" s="423"/>
      <c r="M41" s="13"/>
      <c r="N41" s="176"/>
      <c r="O41" s="158" t="s">
        <v>60</v>
      </c>
      <c r="P41" s="202" t="e">
        <f>#REF!-#REF!-#REF!</f>
        <v>#REF!</v>
      </c>
      <c r="Q41" s="55"/>
      <c r="R41" s="164"/>
      <c r="S41" s="231"/>
    </row>
    <row r="42" spans="1:2043 2051:3070 3078:6138 6146:7165 7173:8192 8200:10233 10241:11260 11268:12287 12295:15355 15363:16382">
      <c r="O42" s="55"/>
      <c r="P42" s="55"/>
      <c r="Q42" s="55"/>
      <c r="R42" s="56"/>
      <c r="S42" s="166"/>
    </row>
    <row r="43" spans="1:2043 2051:3070 3078:6138 6146:7165 7173:8192 8200:10233 10241:11260 11268:12287 12295:15355 15363:16382">
      <c r="O43" s="55"/>
      <c r="P43" s="55"/>
      <c r="Q43" s="55"/>
      <c r="R43" s="56"/>
      <c r="S43" s="166"/>
    </row>
    <row r="44" spans="1:2043 2051:3070 3078:6138 6146:7165 7173:8192 8200:10233 10241:11260 11268:12287 12295:15355 15363:16382">
      <c r="O44" s="55"/>
      <c r="P44" s="55"/>
      <c r="Q44" s="55"/>
      <c r="R44" s="56"/>
      <c r="S44" s="166"/>
    </row>
    <row r="45" spans="1:2043 2051:3070 3078:6138 6146:7165 7173:8192 8200:10233 10241:11260 11268:12287 12295:15355 15363:16382">
      <c r="O45" s="55"/>
      <c r="P45" s="55"/>
      <c r="Q45" s="55"/>
      <c r="R45" s="56"/>
      <c r="S45" s="166"/>
    </row>
    <row r="46" spans="1:2043 2051:3070 3078:6138 6146:7165 7173:8192 8200:10233 10241:11260 11268:12287 12295:15355 15363:16382">
      <c r="O46" s="55"/>
      <c r="P46" s="55"/>
      <c r="Q46" s="55"/>
      <c r="R46" s="56"/>
      <c r="S46" s="166"/>
    </row>
    <row r="47" spans="1:2043 2051:3070 3078:6138 6146:7165 7173:8192 8200:10233 10241:11260 11268:12287 12295:15355 15363:16382">
      <c r="O47" s="55"/>
      <c r="P47" s="55"/>
      <c r="Q47" s="55"/>
      <c r="R47" s="56"/>
      <c r="S47" s="166"/>
    </row>
    <row r="48" spans="1:2043 2051:3070 3078:6138 6146:7165 7173:8192 8200:10233 10241:11260 11268:12287 12295:15355 15363:16382">
      <c r="O48" s="55"/>
      <c r="P48" s="55"/>
      <c r="Q48" s="55"/>
      <c r="R48" s="56"/>
      <c r="S48" s="166"/>
    </row>
    <row r="49" spans="15:19">
      <c r="O49" s="55"/>
      <c r="P49" s="55"/>
      <c r="Q49" s="55"/>
      <c r="R49" s="56"/>
      <c r="S49" s="166"/>
    </row>
    <row r="50" spans="15:19">
      <c r="O50" s="55"/>
      <c r="P50" s="55"/>
      <c r="Q50" s="55"/>
      <c r="R50" s="56"/>
      <c r="S50" s="166"/>
    </row>
    <row r="51" spans="15:19">
      <c r="O51" s="55"/>
      <c r="P51" s="55"/>
      <c r="Q51" s="55"/>
      <c r="R51" s="56"/>
      <c r="S51" s="166"/>
    </row>
    <row r="52" spans="15:19">
      <c r="O52" s="55"/>
      <c r="P52" s="55"/>
      <c r="Q52" s="55"/>
      <c r="R52" s="56"/>
      <c r="S52" s="166"/>
    </row>
    <row r="53" spans="15:19">
      <c r="O53" s="55"/>
      <c r="P53" s="55"/>
      <c r="Q53" s="55"/>
      <c r="R53" s="56"/>
      <c r="S53" s="166"/>
    </row>
    <row r="54" spans="15:19">
      <c r="O54" s="55"/>
      <c r="P54" s="55"/>
      <c r="Q54" s="55"/>
      <c r="R54" s="56"/>
      <c r="S54" s="166"/>
    </row>
    <row r="55" spans="15:19">
      <c r="O55" s="55"/>
      <c r="P55" s="55"/>
      <c r="Q55" s="55"/>
      <c r="R55" s="56"/>
      <c r="S55" s="166"/>
    </row>
    <row r="56" spans="15:19">
      <c r="O56" s="55"/>
      <c r="P56" s="55"/>
      <c r="Q56" s="55"/>
      <c r="R56" s="56"/>
      <c r="S56" s="166"/>
    </row>
    <row r="57" spans="15:19">
      <c r="O57" s="55"/>
      <c r="P57" s="55"/>
      <c r="Q57" s="55"/>
      <c r="R57" s="56"/>
      <c r="S57" s="166"/>
    </row>
  </sheetData>
  <mergeCells count="71">
    <mergeCell ref="G2:I2"/>
    <mergeCell ref="G3:I3"/>
    <mergeCell ref="B4:F5"/>
    <mergeCell ref="G4:I4"/>
    <mergeCell ref="J4:K4"/>
    <mergeCell ref="G5:I5"/>
    <mergeCell ref="J5:K5"/>
    <mergeCell ref="G6:I6"/>
    <mergeCell ref="C9:E9"/>
    <mergeCell ref="G9:I9"/>
    <mergeCell ref="J9:K9"/>
    <mergeCell ref="C10:E10"/>
    <mergeCell ref="G10:I10"/>
    <mergeCell ref="J10:L10"/>
    <mergeCell ref="C11:E11"/>
    <mergeCell ref="G11:I11"/>
    <mergeCell ref="J11:K11"/>
    <mergeCell ref="C12:E12"/>
    <mergeCell ref="G12:I12"/>
    <mergeCell ref="J12:K12"/>
    <mergeCell ref="C21:I21"/>
    <mergeCell ref="K21:L21"/>
    <mergeCell ref="C13:E13"/>
    <mergeCell ref="G13:I13"/>
    <mergeCell ref="J13:K13"/>
    <mergeCell ref="C14:E14"/>
    <mergeCell ref="G14:I14"/>
    <mergeCell ref="C15:I15"/>
    <mergeCell ref="K15:L15"/>
    <mergeCell ref="B17:L17"/>
    <mergeCell ref="C19:I19"/>
    <mergeCell ref="K19:L19"/>
    <mergeCell ref="C20:I20"/>
    <mergeCell ref="K20:L20"/>
    <mergeCell ref="C22:I22"/>
    <mergeCell ref="K22:L22"/>
    <mergeCell ref="C23:I23"/>
    <mergeCell ref="K23:L23"/>
    <mergeCell ref="C24:I24"/>
    <mergeCell ref="K24:L24"/>
    <mergeCell ref="C25:I25"/>
    <mergeCell ref="K25:L25"/>
    <mergeCell ref="C26:I26"/>
    <mergeCell ref="K26:L26"/>
    <mergeCell ref="C27:I27"/>
    <mergeCell ref="K27:L27"/>
    <mergeCell ref="C35:I35"/>
    <mergeCell ref="K35:L35"/>
    <mergeCell ref="C28:I28"/>
    <mergeCell ref="K28:L28"/>
    <mergeCell ref="C29:I29"/>
    <mergeCell ref="K29:L29"/>
    <mergeCell ref="C30:I30"/>
    <mergeCell ref="C31:I31"/>
    <mergeCell ref="K31:L31"/>
    <mergeCell ref="K30:L30"/>
    <mergeCell ref="K32:L32"/>
    <mergeCell ref="C32:I32"/>
    <mergeCell ref="C33:I33"/>
    <mergeCell ref="K33:L33"/>
    <mergeCell ref="C34:I34"/>
    <mergeCell ref="K34:L34"/>
    <mergeCell ref="C41:I41"/>
    <mergeCell ref="K41:L41"/>
    <mergeCell ref="K36:L36"/>
    <mergeCell ref="C37:I37"/>
    <mergeCell ref="K37:L37"/>
    <mergeCell ref="C39:I39"/>
    <mergeCell ref="K39:L39"/>
    <mergeCell ref="C40:I40"/>
    <mergeCell ref="K40:L40"/>
  </mergeCells>
  <dataValidations count="4">
    <dataValidation allowBlank="1" showInputMessage="1" showErrorMessage="1" promptTitle="Información de la organización" prompt="Para escribir varias líneas en una celda, use Alt+Entrar.  También puede personalizar esta plantilla y guardarla como una nueva para su uso posterior. Para más información sobre cómo crear plantillas personalizadas, vea los temas de ayuda." sqref="B1:I1" xr:uid="{00000000-0002-0000-0200-000000000000}"/>
    <dataValidation errorStyle="warning" allowBlank="1" showInputMessage="1" errorTitle="Estado" promptTitle="Estado" prompt="Escriba la abreviatura del estado en esta celda." sqref="E11" xr:uid="{00000000-0002-0000-0200-000001000000}"/>
    <dataValidation type="decimal" allowBlank="1" showErrorMessage="1" errorTitle="Precio unitario" error="Debe escribir un número en esta celda." promptTitle="Precio unitario" sqref="J36:J38 J19:J34" xr:uid="{00000000-0002-0000-0200-000002000000}">
      <formula1>0</formula1>
      <formula2>1000000000</formula2>
    </dataValidation>
    <dataValidation type="whole" errorStyle="warning" allowBlank="1" showErrorMessage="1" errorTitle="Cantidad" error="Debe escribir un número en esta celda." promptTitle="Cantidad" sqref="B32:B38 B24:B29 B22 B19" xr:uid="{00000000-0002-0000-0200-000003000000}">
      <formula1>0</formula1>
      <formula2>1000000000</formula2>
    </dataValidation>
  </dataValidations>
  <hyperlinks>
    <hyperlink ref="J4" r:id="rId1" xr:uid="{00000000-0004-0000-0200-000000000000}"/>
    <hyperlink ref="J5" r:id="rId2" xr:uid="{00000000-0004-0000-0200-000001000000}"/>
  </hyperlinks>
  <pageMargins left="0.23622047244094491" right="0.23622047244094491" top="0.74803149606299213" bottom="0.74803149606299213" header="0.31496062992125984" footer="0.31496062992125984"/>
  <pageSetup paperSize="9" orientation="portrait" r:id="rId3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9"/>
  <sheetViews>
    <sheetView topLeftCell="A34" workbookViewId="0">
      <selection activeCell="B35" sqref="B35:I39"/>
    </sheetView>
  </sheetViews>
  <sheetFormatPr baseColWidth="10" defaultColWidth="2.7109375" defaultRowHeight="10.5"/>
  <cols>
    <col min="1" max="1" width="1.28515625" style="5" customWidth="1"/>
    <col min="2" max="2" width="16" style="5" customWidth="1"/>
    <col min="3" max="3" width="14.5703125" style="5" customWidth="1"/>
    <col min="4" max="4" width="9.140625" style="5" customWidth="1"/>
    <col min="5" max="5" width="8.42578125" style="5" customWidth="1"/>
    <col min="6" max="6" width="1.28515625" style="5" customWidth="1"/>
    <col min="7" max="7" width="8.28515625" style="5" customWidth="1"/>
    <col min="8" max="8" width="1.42578125" style="5" customWidth="1"/>
    <col min="9" max="9" width="3.7109375" style="5" customWidth="1"/>
    <col min="10" max="10" width="15.28515625" style="78" customWidth="1"/>
    <col min="11" max="11" width="16.7109375" style="5" customWidth="1"/>
    <col min="12" max="12" width="1.140625" style="5" customWidth="1"/>
    <col min="13" max="13" width="1.28515625" style="5" customWidth="1"/>
    <col min="14" max="14" width="14.42578125" style="167" customWidth="1"/>
    <col min="15" max="17" width="23.5703125" style="158" customWidth="1"/>
    <col min="18" max="18" width="21.42578125" style="163" customWidth="1"/>
    <col min="19" max="19" width="16" style="169" customWidth="1"/>
    <col min="20" max="20" width="6.5703125" style="5" bestFit="1" customWidth="1"/>
    <col min="21" max="26" width="2.7109375" style="5"/>
    <col min="27" max="27" width="6" style="5" bestFit="1" customWidth="1"/>
    <col min="28" max="16384" width="2.7109375" style="5"/>
  </cols>
  <sheetData>
    <row r="1" spans="1:19" ht="12.75" thickBot="1">
      <c r="A1" s="19"/>
      <c r="B1" s="20"/>
      <c r="C1" s="20"/>
      <c r="D1" s="21"/>
      <c r="E1" s="21"/>
      <c r="F1" s="21"/>
      <c r="G1" s="21"/>
      <c r="H1" s="21"/>
      <c r="I1" s="21"/>
      <c r="J1" s="22"/>
      <c r="K1" s="23"/>
      <c r="L1" s="24"/>
      <c r="M1" s="24"/>
      <c r="N1" s="158"/>
    </row>
    <row r="2" spans="1:19" ht="12">
      <c r="A2" s="4"/>
      <c r="B2" s="25"/>
      <c r="C2" s="26"/>
      <c r="D2" s="27"/>
      <c r="E2" s="27"/>
      <c r="F2" s="27"/>
      <c r="G2" s="349" t="s">
        <v>0</v>
      </c>
      <c r="H2" s="350"/>
      <c r="I2" s="350"/>
      <c r="J2" s="28" t="s">
        <v>1</v>
      </c>
      <c r="K2" s="29"/>
      <c r="L2" s="30"/>
      <c r="M2" s="30"/>
      <c r="N2" s="158"/>
    </row>
    <row r="3" spans="1:19" ht="12">
      <c r="A3" s="4"/>
      <c r="B3" s="25"/>
      <c r="C3" s="31"/>
      <c r="D3" s="32"/>
      <c r="E3" s="32"/>
      <c r="F3" s="32"/>
      <c r="G3" s="351" t="s">
        <v>2</v>
      </c>
      <c r="H3" s="352"/>
      <c r="I3" s="352"/>
      <c r="J3" s="18" t="s">
        <v>3</v>
      </c>
      <c r="K3" s="18" t="s">
        <v>4</v>
      </c>
      <c r="L3" s="222"/>
      <c r="M3" s="222"/>
      <c r="N3" s="158"/>
    </row>
    <row r="4" spans="1:19" ht="14.25" customHeight="1">
      <c r="A4" s="34"/>
      <c r="B4" s="398" t="s">
        <v>5</v>
      </c>
      <c r="C4" s="398"/>
      <c r="D4" s="398"/>
      <c r="E4" s="398"/>
      <c r="F4" s="399"/>
      <c r="G4" s="351" t="s">
        <v>6</v>
      </c>
      <c r="H4" s="352"/>
      <c r="I4" s="352"/>
      <c r="J4" s="359" t="s">
        <v>7</v>
      </c>
      <c r="K4" s="359"/>
      <c r="L4" s="14"/>
      <c r="M4" s="14"/>
      <c r="N4" s="158"/>
    </row>
    <row r="5" spans="1:19" ht="12.75" thickBot="1">
      <c r="A5" s="4"/>
      <c r="B5" s="400"/>
      <c r="C5" s="400"/>
      <c r="D5" s="400"/>
      <c r="E5" s="400"/>
      <c r="F5" s="401"/>
      <c r="G5" s="351" t="s">
        <v>8</v>
      </c>
      <c r="H5" s="352"/>
      <c r="I5" s="352"/>
      <c r="J5" s="359" t="s">
        <v>9</v>
      </c>
      <c r="K5" s="359"/>
      <c r="L5" s="14"/>
      <c r="M5" s="14"/>
      <c r="N5" s="158"/>
    </row>
    <row r="6" spans="1:19" ht="12.75" thickBot="1">
      <c r="A6" s="4"/>
      <c r="B6" s="35"/>
      <c r="C6" s="35"/>
      <c r="D6" s="35"/>
      <c r="E6" s="35"/>
      <c r="F6" s="35"/>
      <c r="G6" s="361"/>
      <c r="H6" s="361"/>
      <c r="I6" s="361"/>
      <c r="J6" s="36"/>
      <c r="K6" s="35"/>
      <c r="L6" s="14"/>
      <c r="M6" s="14"/>
      <c r="N6" s="158"/>
    </row>
    <row r="7" spans="1:19" ht="12.75" thickBot="1">
      <c r="A7" s="4"/>
      <c r="B7" s="37" t="s">
        <v>10</v>
      </c>
      <c r="C7" s="38"/>
      <c r="D7" s="39"/>
      <c r="E7" s="39"/>
      <c r="F7" s="40"/>
      <c r="G7" s="41"/>
      <c r="H7" s="39"/>
      <c r="I7" s="41"/>
      <c r="J7" s="42"/>
      <c r="K7" s="39"/>
      <c r="L7" s="105"/>
      <c r="M7" s="14"/>
      <c r="N7" s="163"/>
    </row>
    <row r="8" spans="1:19" ht="12">
      <c r="A8" s="10"/>
      <c r="B8" s="39"/>
      <c r="C8" s="35"/>
      <c r="D8" s="35"/>
      <c r="E8" s="35"/>
      <c r="F8" s="11"/>
      <c r="G8" s="35"/>
      <c r="H8" s="35"/>
      <c r="I8" s="35"/>
      <c r="J8" s="26"/>
      <c r="K8" s="35"/>
      <c r="L8" s="14"/>
      <c r="M8" s="14"/>
      <c r="N8" s="163"/>
    </row>
    <row r="9" spans="1:19" ht="12">
      <c r="A9" s="10"/>
      <c r="B9" s="148" t="s">
        <v>11</v>
      </c>
      <c r="C9" s="355" t="s">
        <v>66</v>
      </c>
      <c r="D9" s="355"/>
      <c r="E9" s="355"/>
      <c r="F9" s="11"/>
      <c r="G9" s="354" t="s">
        <v>12</v>
      </c>
      <c r="H9" s="352"/>
      <c r="I9" s="352"/>
      <c r="J9" s="394">
        <v>43215</v>
      </c>
      <c r="K9" s="394"/>
      <c r="L9" s="79"/>
      <c r="M9" s="14"/>
      <c r="N9" s="163"/>
    </row>
    <row r="10" spans="1:19" ht="25.5" customHeight="1">
      <c r="A10" s="10"/>
      <c r="B10" s="148" t="s">
        <v>13</v>
      </c>
      <c r="C10" s="395" t="s">
        <v>67</v>
      </c>
      <c r="D10" s="395"/>
      <c r="E10" s="395"/>
      <c r="F10" s="11"/>
      <c r="G10" s="354" t="s">
        <v>14</v>
      </c>
      <c r="H10" s="352"/>
      <c r="I10" s="352"/>
      <c r="J10" s="396" t="s">
        <v>199</v>
      </c>
      <c r="K10" s="396"/>
      <c r="L10" s="397"/>
      <c r="M10" s="14"/>
      <c r="N10" s="163"/>
    </row>
    <row r="11" spans="1:19" ht="12">
      <c r="A11" s="10"/>
      <c r="B11" s="148" t="s">
        <v>15</v>
      </c>
      <c r="C11" s="353" t="s">
        <v>16</v>
      </c>
      <c r="D11" s="353"/>
      <c r="E11" s="353"/>
      <c r="F11" s="11"/>
      <c r="G11" s="354" t="s">
        <v>17</v>
      </c>
      <c r="H11" s="352"/>
      <c r="I11" s="352"/>
      <c r="J11" s="392">
        <v>1</v>
      </c>
      <c r="K11" s="392"/>
      <c r="L11" s="79"/>
      <c r="M11" s="14"/>
      <c r="N11" s="163"/>
    </row>
    <row r="12" spans="1:19" ht="12">
      <c r="A12" s="10"/>
      <c r="B12" s="148"/>
      <c r="C12" s="353"/>
      <c r="D12" s="353"/>
      <c r="E12" s="353"/>
      <c r="F12" s="11"/>
      <c r="G12" s="354" t="s">
        <v>18</v>
      </c>
      <c r="H12" s="352"/>
      <c r="I12" s="352"/>
      <c r="J12" s="392">
        <v>1</v>
      </c>
      <c r="K12" s="392"/>
      <c r="L12" s="79"/>
      <c r="M12" s="14"/>
      <c r="N12" s="163"/>
    </row>
    <row r="13" spans="1:19" ht="12">
      <c r="A13" s="10"/>
      <c r="B13" s="148" t="s">
        <v>19</v>
      </c>
      <c r="C13" s="353" t="s">
        <v>77</v>
      </c>
      <c r="D13" s="353"/>
      <c r="E13" s="353"/>
      <c r="F13" s="11"/>
      <c r="G13" s="354" t="s">
        <v>20</v>
      </c>
      <c r="H13" s="352"/>
      <c r="I13" s="352"/>
      <c r="J13" s="392" t="s">
        <v>200</v>
      </c>
      <c r="K13" s="392"/>
      <c r="L13" s="79"/>
      <c r="M13" s="14"/>
      <c r="N13" s="163"/>
    </row>
    <row r="14" spans="1:19" ht="12">
      <c r="A14" s="10"/>
      <c r="B14" s="146"/>
      <c r="C14" s="367"/>
      <c r="D14" s="367"/>
      <c r="E14" s="367"/>
      <c r="F14" s="11"/>
      <c r="G14" s="368"/>
      <c r="H14" s="369"/>
      <c r="I14" s="369"/>
      <c r="J14" s="80"/>
      <c r="K14" s="81"/>
      <c r="L14" s="82"/>
      <c r="M14" s="14"/>
      <c r="N14" s="163"/>
    </row>
    <row r="15" spans="1:19" ht="12">
      <c r="A15" s="10"/>
      <c r="B15" s="147" t="s">
        <v>137</v>
      </c>
      <c r="C15" s="370" t="s">
        <v>138</v>
      </c>
      <c r="D15" s="371"/>
      <c r="E15" s="371"/>
      <c r="F15" s="371"/>
      <c r="G15" s="371"/>
      <c r="H15" s="371"/>
      <c r="I15" s="372"/>
      <c r="J15" s="17"/>
      <c r="K15" s="370"/>
      <c r="L15" s="372"/>
      <c r="M15" s="14"/>
      <c r="N15" s="167" t="s">
        <v>107</v>
      </c>
      <c r="O15" s="159">
        <v>0.2</v>
      </c>
      <c r="P15" s="159">
        <v>0.2</v>
      </c>
      <c r="Q15" s="158" t="s">
        <v>25</v>
      </c>
      <c r="R15" s="163" t="s">
        <v>26</v>
      </c>
      <c r="S15" s="169" t="s">
        <v>58</v>
      </c>
    </row>
    <row r="16" spans="1:19" ht="12">
      <c r="A16" s="4"/>
      <c r="B16" s="43"/>
      <c r="C16" s="44"/>
      <c r="D16" s="44"/>
      <c r="E16" s="44"/>
      <c r="F16" s="44"/>
      <c r="G16" s="44"/>
      <c r="H16" s="44"/>
      <c r="I16" s="44"/>
      <c r="J16" s="148"/>
      <c r="K16" s="73"/>
      <c r="L16" s="46"/>
      <c r="M16" s="14"/>
      <c r="N16" s="167" t="s">
        <v>73</v>
      </c>
      <c r="O16" s="159">
        <v>0.15</v>
      </c>
      <c r="P16" s="159">
        <v>0.15</v>
      </c>
    </row>
    <row r="17" spans="1:20" ht="12">
      <c r="A17" s="4"/>
      <c r="B17" s="373" t="s">
        <v>201</v>
      </c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14"/>
      <c r="N17" s="167" t="s">
        <v>74</v>
      </c>
      <c r="O17" s="159">
        <v>0.1</v>
      </c>
      <c r="P17" s="159">
        <v>0.12</v>
      </c>
    </row>
    <row r="18" spans="1:20" ht="12">
      <c r="A18" s="4"/>
      <c r="B18" s="118"/>
      <c r="C18" s="117"/>
      <c r="D18" s="117"/>
      <c r="E18" s="117"/>
      <c r="F18" s="117"/>
      <c r="G18" s="117"/>
      <c r="H18" s="117"/>
      <c r="I18" s="117"/>
      <c r="J18" s="117"/>
      <c r="K18" s="221"/>
      <c r="L18" s="119"/>
      <c r="M18" s="14"/>
      <c r="N18" s="167" t="s">
        <v>75</v>
      </c>
      <c r="O18" s="159">
        <v>0.15</v>
      </c>
      <c r="P18" s="159">
        <v>0.7</v>
      </c>
    </row>
    <row r="19" spans="1:20" ht="12">
      <c r="A19" s="4"/>
      <c r="B19" s="83"/>
      <c r="C19" s="393"/>
      <c r="D19" s="393"/>
      <c r="E19" s="393"/>
      <c r="F19" s="393"/>
      <c r="G19" s="393"/>
      <c r="H19" s="393"/>
      <c r="I19" s="393"/>
      <c r="J19" s="47"/>
      <c r="K19" s="374"/>
      <c r="L19" s="375"/>
      <c r="M19" s="14"/>
    </row>
    <row r="20" spans="1:20" ht="21.75" customHeight="1">
      <c r="A20" s="4"/>
      <c r="B20" s="52"/>
      <c r="C20" s="379"/>
      <c r="D20" s="379"/>
      <c r="E20" s="379"/>
      <c r="F20" s="379"/>
      <c r="G20" s="379"/>
      <c r="H20" s="379"/>
      <c r="I20" s="379"/>
      <c r="J20" s="84"/>
      <c r="K20" s="411"/>
      <c r="L20" s="412"/>
      <c r="M20" s="14"/>
      <c r="N20" s="168"/>
      <c r="O20" s="230"/>
      <c r="P20" s="55"/>
      <c r="Q20" s="55"/>
      <c r="R20" s="164"/>
      <c r="S20" s="231"/>
    </row>
    <row r="21" spans="1:20" s="238" customFormat="1" ht="24.95" customHeight="1">
      <c r="A21" s="4"/>
      <c r="B21" s="52">
        <v>1</v>
      </c>
      <c r="C21" s="385" t="s">
        <v>143</v>
      </c>
      <c r="D21" s="386"/>
      <c r="E21" s="386"/>
      <c r="F21" s="386"/>
      <c r="G21" s="386"/>
      <c r="H21" s="386"/>
      <c r="I21" s="387"/>
      <c r="J21" s="84"/>
      <c r="K21" s="411"/>
      <c r="L21" s="412"/>
      <c r="M21" s="14"/>
      <c r="N21" s="231">
        <v>292</v>
      </c>
      <c r="O21" s="230">
        <f t="shared" ref="O21:O25" si="0">N21*$O$18</f>
        <v>43.8</v>
      </c>
      <c r="P21" s="55">
        <f t="shared" ref="P21:P25" si="1">N21*$P$18</f>
        <v>204.39999999999998</v>
      </c>
      <c r="Q21" s="55">
        <f t="shared" ref="Q21:Q26" si="2">N21+O21+P21</f>
        <v>540.20000000000005</v>
      </c>
      <c r="R21" s="164">
        <f t="shared" ref="R21:R48" si="3">N21*B21</f>
        <v>292</v>
      </c>
      <c r="S21" s="231">
        <f t="shared" ref="S21:S48" si="4">O21*B21</f>
        <v>43.8</v>
      </c>
      <c r="T21" s="211"/>
    </row>
    <row r="22" spans="1:20" ht="24.95" customHeight="1">
      <c r="A22" s="4"/>
      <c r="B22" s="52">
        <v>1</v>
      </c>
      <c r="C22" s="385" t="s">
        <v>144</v>
      </c>
      <c r="D22" s="386"/>
      <c r="E22" s="386"/>
      <c r="F22" s="386"/>
      <c r="G22" s="386"/>
      <c r="H22" s="386"/>
      <c r="I22" s="387"/>
      <c r="J22" s="84"/>
      <c r="K22" s="411"/>
      <c r="L22" s="412"/>
      <c r="M22" s="14"/>
      <c r="N22" s="231">
        <v>292</v>
      </c>
      <c r="O22" s="230">
        <f t="shared" si="0"/>
        <v>43.8</v>
      </c>
      <c r="P22" s="55">
        <f t="shared" si="1"/>
        <v>204.39999999999998</v>
      </c>
      <c r="Q22" s="55">
        <f t="shared" si="2"/>
        <v>540.20000000000005</v>
      </c>
      <c r="R22" s="164">
        <f t="shared" si="3"/>
        <v>292</v>
      </c>
      <c r="S22" s="231">
        <f t="shared" si="4"/>
        <v>43.8</v>
      </c>
    </row>
    <row r="23" spans="1:20" ht="24.95" customHeight="1">
      <c r="A23" s="4"/>
      <c r="B23" s="52">
        <v>2</v>
      </c>
      <c r="C23" s="379" t="s">
        <v>145</v>
      </c>
      <c r="D23" s="379"/>
      <c r="E23" s="379"/>
      <c r="F23" s="379"/>
      <c r="G23" s="379"/>
      <c r="H23" s="379"/>
      <c r="I23" s="379"/>
      <c r="J23" s="84"/>
      <c r="K23" s="411"/>
      <c r="L23" s="412"/>
      <c r="M23" s="14"/>
      <c r="N23" s="168">
        <v>292</v>
      </c>
      <c r="O23" s="230">
        <f t="shared" si="0"/>
        <v>43.8</v>
      </c>
      <c r="P23" s="55">
        <f t="shared" si="1"/>
        <v>204.39999999999998</v>
      </c>
      <c r="Q23" s="55">
        <f t="shared" si="2"/>
        <v>540.20000000000005</v>
      </c>
      <c r="R23" s="164">
        <f t="shared" si="3"/>
        <v>584</v>
      </c>
      <c r="S23" s="231">
        <f t="shared" si="4"/>
        <v>87.6</v>
      </c>
    </row>
    <row r="24" spans="1:20" ht="24.95" customHeight="1">
      <c r="A24" s="4"/>
      <c r="B24" s="52">
        <v>2</v>
      </c>
      <c r="C24" s="379" t="s">
        <v>146</v>
      </c>
      <c r="D24" s="379"/>
      <c r="E24" s="379"/>
      <c r="F24" s="379"/>
      <c r="G24" s="379"/>
      <c r="H24" s="379"/>
      <c r="I24" s="379"/>
      <c r="J24" s="84"/>
      <c r="K24" s="411"/>
      <c r="L24" s="412"/>
      <c r="M24" s="14"/>
      <c r="N24" s="168">
        <v>292</v>
      </c>
      <c r="O24" s="230">
        <f t="shared" si="0"/>
        <v>43.8</v>
      </c>
      <c r="P24" s="55">
        <f t="shared" si="1"/>
        <v>204.39999999999998</v>
      </c>
      <c r="Q24" s="55">
        <f t="shared" si="2"/>
        <v>540.20000000000005</v>
      </c>
      <c r="R24" s="164">
        <f t="shared" si="3"/>
        <v>584</v>
      </c>
      <c r="S24" s="231">
        <f t="shared" si="4"/>
        <v>87.6</v>
      </c>
    </row>
    <row r="25" spans="1:20" ht="24.95" customHeight="1">
      <c r="A25" s="4"/>
      <c r="B25" s="52">
        <v>2</v>
      </c>
      <c r="C25" s="379" t="s">
        <v>159</v>
      </c>
      <c r="D25" s="379"/>
      <c r="E25" s="379"/>
      <c r="F25" s="379"/>
      <c r="G25" s="379"/>
      <c r="H25" s="379"/>
      <c r="I25" s="379"/>
      <c r="J25" s="84"/>
      <c r="K25" s="431"/>
      <c r="L25" s="432"/>
      <c r="M25" s="14"/>
      <c r="N25" s="231">
        <v>25</v>
      </c>
      <c r="O25" s="230">
        <f t="shared" si="0"/>
        <v>3.75</v>
      </c>
      <c r="P25" s="55">
        <f t="shared" si="1"/>
        <v>17.5</v>
      </c>
      <c r="Q25" s="55">
        <f t="shared" si="2"/>
        <v>46.25</v>
      </c>
      <c r="R25" s="164">
        <f t="shared" si="3"/>
        <v>50</v>
      </c>
      <c r="S25" s="231">
        <f t="shared" si="4"/>
        <v>7.5</v>
      </c>
    </row>
    <row r="26" spans="1:20" ht="24.95" customHeight="1">
      <c r="A26" s="4"/>
      <c r="B26" s="52">
        <v>1</v>
      </c>
      <c r="C26" s="385" t="s">
        <v>132</v>
      </c>
      <c r="D26" s="386"/>
      <c r="E26" s="386"/>
      <c r="F26" s="386"/>
      <c r="G26" s="386"/>
      <c r="H26" s="386"/>
      <c r="I26" s="387"/>
      <c r="J26" s="84"/>
      <c r="K26" s="250"/>
      <c r="L26" s="251"/>
      <c r="M26" s="51"/>
      <c r="N26" s="179">
        <v>15372</v>
      </c>
      <c r="O26" s="230">
        <f>N26*$O$17</f>
        <v>1537.2</v>
      </c>
      <c r="P26" s="55">
        <f>N26*$P$17</f>
        <v>1844.6399999999999</v>
      </c>
      <c r="Q26" s="55">
        <f t="shared" si="2"/>
        <v>18753.84</v>
      </c>
      <c r="R26" s="164">
        <f t="shared" si="3"/>
        <v>15372</v>
      </c>
      <c r="S26" s="231">
        <f t="shared" si="4"/>
        <v>1537.2</v>
      </c>
    </row>
    <row r="27" spans="1:20" ht="24.95" customHeight="1">
      <c r="A27" s="4"/>
      <c r="B27" s="127">
        <v>1</v>
      </c>
      <c r="C27" s="385" t="s">
        <v>133</v>
      </c>
      <c r="D27" s="386"/>
      <c r="E27" s="386"/>
      <c r="F27" s="386"/>
      <c r="G27" s="386"/>
      <c r="H27" s="386"/>
      <c r="I27" s="387"/>
      <c r="J27" s="84"/>
      <c r="K27" s="250"/>
      <c r="L27" s="251"/>
      <c r="M27" s="51"/>
      <c r="N27" s="179"/>
      <c r="O27" s="230"/>
      <c r="P27" s="55"/>
      <c r="Q27" s="55"/>
      <c r="R27" s="164">
        <f t="shared" si="3"/>
        <v>0</v>
      </c>
      <c r="S27" s="231">
        <f t="shared" si="4"/>
        <v>0</v>
      </c>
    </row>
    <row r="28" spans="1:20" ht="36.75" customHeight="1">
      <c r="A28" s="4"/>
      <c r="B28" s="127">
        <v>1</v>
      </c>
      <c r="C28" s="388" t="s">
        <v>134</v>
      </c>
      <c r="D28" s="388"/>
      <c r="E28" s="388"/>
      <c r="F28" s="388"/>
      <c r="G28" s="388"/>
      <c r="H28" s="388"/>
      <c r="I28" s="388"/>
      <c r="J28" s="84"/>
      <c r="K28" s="250"/>
      <c r="L28" s="251"/>
      <c r="M28" s="51"/>
      <c r="N28" s="179">
        <v>2127</v>
      </c>
      <c r="O28" s="230">
        <v>0</v>
      </c>
      <c r="P28" s="55">
        <f>N28*$P$17</f>
        <v>255.23999999999998</v>
      </c>
      <c r="Q28" s="55">
        <f t="shared" ref="Q28:Q32" si="5">N28+O28+P28</f>
        <v>2382.2399999999998</v>
      </c>
      <c r="R28" s="164">
        <f t="shared" si="3"/>
        <v>2127</v>
      </c>
      <c r="S28" s="231">
        <f t="shared" si="4"/>
        <v>0</v>
      </c>
    </row>
    <row r="29" spans="1:20" ht="24.95" customHeight="1">
      <c r="A29" s="4"/>
      <c r="B29" s="52">
        <v>1</v>
      </c>
      <c r="C29" s="385" t="s">
        <v>141</v>
      </c>
      <c r="D29" s="386"/>
      <c r="E29" s="386"/>
      <c r="F29" s="386"/>
      <c r="G29" s="386"/>
      <c r="H29" s="386"/>
      <c r="I29" s="387"/>
      <c r="J29" s="84"/>
      <c r="K29" s="411"/>
      <c r="L29" s="412"/>
      <c r="M29" s="14"/>
      <c r="N29" s="168">
        <v>103.55</v>
      </c>
      <c r="O29" s="230">
        <f t="shared" ref="O29" si="6">N29*$O$18</f>
        <v>15.532499999999999</v>
      </c>
      <c r="P29" s="55">
        <f t="shared" ref="P29" si="7">N29*$P$18</f>
        <v>72.484999999999999</v>
      </c>
      <c r="Q29" s="55">
        <f t="shared" si="5"/>
        <v>191.5675</v>
      </c>
      <c r="R29" s="164">
        <f t="shared" si="3"/>
        <v>103.55</v>
      </c>
      <c r="S29" s="231">
        <f t="shared" si="4"/>
        <v>15.532499999999999</v>
      </c>
    </row>
    <row r="30" spans="1:20" ht="24.95" customHeight="1">
      <c r="A30" s="10"/>
      <c r="B30" s="52">
        <v>2</v>
      </c>
      <c r="C30" s="385" t="s">
        <v>167</v>
      </c>
      <c r="D30" s="386"/>
      <c r="E30" s="386"/>
      <c r="F30" s="386"/>
      <c r="G30" s="386"/>
      <c r="H30" s="386"/>
      <c r="I30" s="387"/>
      <c r="J30" s="84"/>
      <c r="K30" s="380"/>
      <c r="L30" s="381"/>
      <c r="M30" s="14"/>
      <c r="N30" s="262">
        <v>4500</v>
      </c>
      <c r="O30" s="230">
        <f>N30*$O$16</f>
        <v>675</v>
      </c>
      <c r="P30" s="55">
        <f>N30*$P$16</f>
        <v>675</v>
      </c>
      <c r="Q30" s="55">
        <f t="shared" si="5"/>
        <v>5850</v>
      </c>
      <c r="R30" s="164">
        <f t="shared" si="3"/>
        <v>9000</v>
      </c>
      <c r="S30" s="237">
        <f t="shared" si="4"/>
        <v>1350</v>
      </c>
    </row>
    <row r="31" spans="1:20" ht="24.95" customHeight="1">
      <c r="A31" s="4"/>
      <c r="B31" s="86">
        <v>2</v>
      </c>
      <c r="C31" s="389" t="s">
        <v>168</v>
      </c>
      <c r="D31" s="390"/>
      <c r="E31" s="390"/>
      <c r="F31" s="390"/>
      <c r="G31" s="390"/>
      <c r="H31" s="390"/>
      <c r="I31" s="391"/>
      <c r="J31" s="219"/>
      <c r="K31" s="444"/>
      <c r="L31" s="445"/>
      <c r="M31" s="10"/>
      <c r="N31" s="160">
        <v>137</v>
      </c>
      <c r="O31" s="230">
        <f t="shared" ref="O31:O48" si="8">N31*$O$18</f>
        <v>20.55</v>
      </c>
      <c r="P31" s="55">
        <f t="shared" ref="P31:P32" si="9">N31*$P$18</f>
        <v>95.899999999999991</v>
      </c>
      <c r="Q31" s="55">
        <f t="shared" si="5"/>
        <v>253.45</v>
      </c>
      <c r="R31" s="171">
        <f t="shared" si="3"/>
        <v>274</v>
      </c>
      <c r="S31" s="171">
        <f t="shared" si="4"/>
        <v>41.1</v>
      </c>
      <c r="T31" s="6"/>
    </row>
    <row r="32" spans="1:20" ht="24.95" customHeight="1">
      <c r="A32" s="4"/>
      <c r="B32" s="86">
        <v>1</v>
      </c>
      <c r="C32" s="385" t="s">
        <v>170</v>
      </c>
      <c r="D32" s="386"/>
      <c r="E32" s="386"/>
      <c r="F32" s="386"/>
      <c r="G32" s="386"/>
      <c r="H32" s="386"/>
      <c r="I32" s="387"/>
      <c r="J32" s="219"/>
      <c r="K32" s="444"/>
      <c r="L32" s="445"/>
      <c r="M32" s="14"/>
      <c r="N32" s="160">
        <v>295</v>
      </c>
      <c r="O32" s="230">
        <f t="shared" si="8"/>
        <v>44.25</v>
      </c>
      <c r="P32" s="55">
        <f t="shared" si="9"/>
        <v>206.5</v>
      </c>
      <c r="Q32" s="55">
        <f t="shared" si="5"/>
        <v>545.75</v>
      </c>
      <c r="R32" s="171">
        <f t="shared" si="3"/>
        <v>295</v>
      </c>
      <c r="S32" s="171">
        <f t="shared" si="4"/>
        <v>44.25</v>
      </c>
      <c r="T32" s="6"/>
    </row>
    <row r="33" spans="1:19" ht="24.95" customHeight="1">
      <c r="A33" s="4"/>
      <c r="B33" s="139">
        <v>1</v>
      </c>
      <c r="C33" s="379" t="s">
        <v>171</v>
      </c>
      <c r="D33" s="379"/>
      <c r="E33" s="379"/>
      <c r="F33" s="379"/>
      <c r="G33" s="379"/>
      <c r="H33" s="379"/>
      <c r="I33" s="379"/>
      <c r="J33" s="84"/>
      <c r="K33" s="424"/>
      <c r="L33" s="425"/>
      <c r="M33" s="14"/>
      <c r="N33" s="236">
        <v>140</v>
      </c>
      <c r="O33" s="230">
        <f t="shared" si="8"/>
        <v>21</v>
      </c>
      <c r="P33" s="55">
        <f t="shared" ref="P33:P39" si="10">N33*$P$18</f>
        <v>98</v>
      </c>
      <c r="Q33" s="55">
        <f t="shared" ref="Q33:Q39" si="11">N33+O33+P33</f>
        <v>259</v>
      </c>
      <c r="R33" s="164">
        <f t="shared" si="3"/>
        <v>140</v>
      </c>
      <c r="S33" s="237">
        <f t="shared" si="4"/>
        <v>21</v>
      </c>
    </row>
    <row r="34" spans="1:19" s="211" customFormat="1" ht="24.95" customHeight="1">
      <c r="A34" s="4"/>
      <c r="B34" s="127">
        <v>3</v>
      </c>
      <c r="C34" s="379" t="s">
        <v>172</v>
      </c>
      <c r="D34" s="379"/>
      <c r="E34" s="379"/>
      <c r="F34" s="379"/>
      <c r="G34" s="379"/>
      <c r="H34" s="379"/>
      <c r="I34" s="379"/>
      <c r="J34" s="84"/>
      <c r="K34" s="250"/>
      <c r="L34" s="251"/>
      <c r="M34" s="51"/>
      <c r="N34" s="210">
        <v>100</v>
      </c>
      <c r="O34" s="232">
        <f t="shared" si="8"/>
        <v>15</v>
      </c>
      <c r="P34" s="166">
        <f t="shared" si="10"/>
        <v>70</v>
      </c>
      <c r="Q34" s="166">
        <f t="shared" si="11"/>
        <v>185</v>
      </c>
      <c r="R34" s="164">
        <f t="shared" si="3"/>
        <v>300</v>
      </c>
      <c r="S34" s="231">
        <f t="shared" si="4"/>
        <v>45</v>
      </c>
    </row>
    <row r="35" spans="1:19" ht="28.35" customHeight="1">
      <c r="A35" s="4"/>
      <c r="B35" s="52">
        <v>1</v>
      </c>
      <c r="C35" s="379" t="s">
        <v>173</v>
      </c>
      <c r="D35" s="379"/>
      <c r="E35" s="379"/>
      <c r="F35" s="379"/>
      <c r="G35" s="379"/>
      <c r="H35" s="379"/>
      <c r="I35" s="379"/>
      <c r="J35" s="84"/>
      <c r="K35" s="250"/>
      <c r="L35" s="251"/>
      <c r="M35" s="187"/>
      <c r="N35" s="229">
        <v>35</v>
      </c>
      <c r="O35" s="230">
        <f t="shared" si="8"/>
        <v>5.25</v>
      </c>
      <c r="P35" s="55">
        <f t="shared" si="10"/>
        <v>24.5</v>
      </c>
      <c r="Q35" s="55">
        <f t="shared" si="11"/>
        <v>64.75</v>
      </c>
      <c r="R35" s="164">
        <f t="shared" si="3"/>
        <v>35</v>
      </c>
      <c r="S35" s="231">
        <f t="shared" si="4"/>
        <v>5.25</v>
      </c>
    </row>
    <row r="36" spans="1:19" ht="24.95" customHeight="1">
      <c r="A36" s="4"/>
      <c r="B36" s="50">
        <v>1</v>
      </c>
      <c r="C36" s="379" t="s">
        <v>174</v>
      </c>
      <c r="D36" s="379"/>
      <c r="E36" s="379"/>
      <c r="F36" s="379"/>
      <c r="G36" s="379"/>
      <c r="H36" s="379"/>
      <c r="I36" s="379"/>
      <c r="J36" s="84"/>
      <c r="K36" s="250"/>
      <c r="L36" s="251"/>
      <c r="M36" s="14"/>
      <c r="N36" s="236">
        <v>40</v>
      </c>
      <c r="O36" s="230">
        <f t="shared" si="8"/>
        <v>6</v>
      </c>
      <c r="P36" s="55">
        <f t="shared" si="10"/>
        <v>28</v>
      </c>
      <c r="Q36" s="55">
        <f t="shared" si="11"/>
        <v>74</v>
      </c>
      <c r="R36" s="164">
        <f t="shared" si="3"/>
        <v>40</v>
      </c>
      <c r="S36" s="231">
        <f t="shared" si="4"/>
        <v>6</v>
      </c>
    </row>
    <row r="37" spans="1:19" ht="24.95" customHeight="1">
      <c r="A37" s="4"/>
      <c r="B37" s="50">
        <v>1</v>
      </c>
      <c r="C37" s="379" t="s">
        <v>176</v>
      </c>
      <c r="D37" s="379"/>
      <c r="E37" s="379"/>
      <c r="F37" s="379"/>
      <c r="G37" s="379"/>
      <c r="H37" s="379"/>
      <c r="I37" s="379"/>
      <c r="J37" s="84"/>
      <c r="K37" s="250"/>
      <c r="L37" s="251"/>
      <c r="M37" s="14"/>
      <c r="N37" s="171">
        <v>10</v>
      </c>
      <c r="O37" s="230">
        <f t="shared" si="8"/>
        <v>1.5</v>
      </c>
      <c r="P37" s="55">
        <f t="shared" si="10"/>
        <v>7</v>
      </c>
      <c r="Q37" s="55">
        <f t="shared" si="11"/>
        <v>18.5</v>
      </c>
      <c r="R37" s="171">
        <f t="shared" si="3"/>
        <v>10</v>
      </c>
      <c r="S37" s="171">
        <f t="shared" si="4"/>
        <v>1.5</v>
      </c>
    </row>
    <row r="38" spans="1:19" ht="28.35" customHeight="1">
      <c r="A38" s="15"/>
      <c r="B38" s="270">
        <v>1</v>
      </c>
      <c r="C38" s="382" t="s">
        <v>177</v>
      </c>
      <c r="D38" s="382"/>
      <c r="E38" s="382"/>
      <c r="F38" s="382"/>
      <c r="G38" s="382"/>
      <c r="H38" s="382"/>
      <c r="I38" s="382"/>
      <c r="J38" s="220"/>
      <c r="K38" s="439"/>
      <c r="L38" s="440"/>
      <c r="M38" s="271"/>
      <c r="N38" s="212">
        <v>345</v>
      </c>
      <c r="O38" s="230">
        <f t="shared" si="8"/>
        <v>51.75</v>
      </c>
      <c r="P38" s="55">
        <f t="shared" si="10"/>
        <v>241.49999999999997</v>
      </c>
      <c r="Q38" s="55">
        <f t="shared" si="11"/>
        <v>638.25</v>
      </c>
      <c r="R38" s="164">
        <f t="shared" si="3"/>
        <v>345</v>
      </c>
      <c r="S38" s="237">
        <f t="shared" si="4"/>
        <v>51.75</v>
      </c>
    </row>
    <row r="39" spans="1:19" ht="28.35" customHeight="1">
      <c r="A39" s="4"/>
      <c r="B39" s="86">
        <v>1</v>
      </c>
      <c r="C39" s="441" t="s">
        <v>178</v>
      </c>
      <c r="D39" s="441"/>
      <c r="E39" s="441"/>
      <c r="F39" s="441"/>
      <c r="G39" s="441"/>
      <c r="H39" s="441"/>
      <c r="I39" s="441"/>
      <c r="J39" s="219"/>
      <c r="K39" s="442"/>
      <c r="L39" s="443"/>
      <c r="M39" s="187"/>
      <c r="N39" s="212">
        <v>425</v>
      </c>
      <c r="O39" s="230">
        <f t="shared" si="8"/>
        <v>63.75</v>
      </c>
      <c r="P39" s="55">
        <f t="shared" si="10"/>
        <v>297.5</v>
      </c>
      <c r="Q39" s="55">
        <f t="shared" si="11"/>
        <v>786.25</v>
      </c>
      <c r="R39" s="164">
        <f t="shared" si="3"/>
        <v>425</v>
      </c>
      <c r="S39" s="237">
        <f t="shared" si="4"/>
        <v>63.75</v>
      </c>
    </row>
    <row r="40" spans="1:19" ht="24.95" customHeight="1">
      <c r="A40" s="4"/>
      <c r="B40" s="52">
        <v>2</v>
      </c>
      <c r="C40" s="379" t="s">
        <v>169</v>
      </c>
      <c r="D40" s="379"/>
      <c r="E40" s="379"/>
      <c r="F40" s="379"/>
      <c r="G40" s="379"/>
      <c r="H40" s="379"/>
      <c r="I40" s="379"/>
      <c r="J40" s="84"/>
      <c r="K40" s="424"/>
      <c r="L40" s="425"/>
      <c r="M40" s="14"/>
      <c r="N40" s="168">
        <v>35</v>
      </c>
      <c r="O40" s="230">
        <f t="shared" si="8"/>
        <v>5.25</v>
      </c>
      <c r="P40" s="55">
        <f t="shared" ref="P40:P48" si="12">N40*$P$18</f>
        <v>24.5</v>
      </c>
      <c r="Q40" s="55">
        <f t="shared" ref="Q40:Q48" si="13">N40+O40+P40</f>
        <v>64.75</v>
      </c>
      <c r="R40" s="164">
        <f t="shared" si="3"/>
        <v>70</v>
      </c>
      <c r="S40" s="231">
        <f t="shared" si="4"/>
        <v>10.5</v>
      </c>
    </row>
    <row r="41" spans="1:19" ht="24.95" customHeight="1">
      <c r="A41" s="4"/>
      <c r="B41" s="52">
        <v>6</v>
      </c>
      <c r="C41" s="379" t="s">
        <v>179</v>
      </c>
      <c r="D41" s="379"/>
      <c r="E41" s="379"/>
      <c r="F41" s="379"/>
      <c r="G41" s="379"/>
      <c r="H41" s="379"/>
      <c r="I41" s="379"/>
      <c r="J41" s="84"/>
      <c r="K41" s="424"/>
      <c r="L41" s="425"/>
      <c r="M41" s="14"/>
      <c r="N41" s="168">
        <v>25</v>
      </c>
      <c r="O41" s="230">
        <f t="shared" si="8"/>
        <v>3.75</v>
      </c>
      <c r="P41" s="55">
        <f t="shared" si="12"/>
        <v>17.5</v>
      </c>
      <c r="Q41" s="55">
        <f t="shared" si="13"/>
        <v>46.25</v>
      </c>
      <c r="R41" s="164">
        <f t="shared" si="3"/>
        <v>150</v>
      </c>
      <c r="S41" s="231">
        <f t="shared" si="4"/>
        <v>22.5</v>
      </c>
    </row>
    <row r="42" spans="1:19" ht="24.95" customHeight="1">
      <c r="A42" s="4"/>
      <c r="B42" s="52">
        <v>3</v>
      </c>
      <c r="C42" s="379" t="s">
        <v>164</v>
      </c>
      <c r="D42" s="379"/>
      <c r="E42" s="379"/>
      <c r="F42" s="379"/>
      <c r="G42" s="379"/>
      <c r="H42" s="379"/>
      <c r="I42" s="379"/>
      <c r="J42" s="84"/>
      <c r="K42" s="424"/>
      <c r="L42" s="425"/>
      <c r="M42" s="14"/>
      <c r="N42" s="168">
        <v>70</v>
      </c>
      <c r="O42" s="230">
        <f t="shared" si="8"/>
        <v>10.5</v>
      </c>
      <c r="P42" s="55">
        <f t="shared" si="12"/>
        <v>49</v>
      </c>
      <c r="Q42" s="55">
        <f t="shared" si="13"/>
        <v>129.5</v>
      </c>
      <c r="R42" s="164">
        <f t="shared" si="3"/>
        <v>210</v>
      </c>
      <c r="S42" s="231">
        <f t="shared" si="4"/>
        <v>31.5</v>
      </c>
    </row>
    <row r="43" spans="1:19" ht="24.95" customHeight="1">
      <c r="A43" s="4"/>
      <c r="B43" s="52">
        <v>3</v>
      </c>
      <c r="C43" s="388" t="s">
        <v>135</v>
      </c>
      <c r="D43" s="388"/>
      <c r="E43" s="388"/>
      <c r="F43" s="388"/>
      <c r="G43" s="388"/>
      <c r="H43" s="388"/>
      <c r="I43" s="388"/>
      <c r="J43" s="84"/>
      <c r="K43" s="424"/>
      <c r="L43" s="425"/>
      <c r="M43" s="14"/>
      <c r="N43" s="207">
        <v>35</v>
      </c>
      <c r="O43" s="230">
        <f t="shared" si="8"/>
        <v>5.25</v>
      </c>
      <c r="P43" s="55">
        <f t="shared" si="12"/>
        <v>24.5</v>
      </c>
      <c r="Q43" s="55">
        <f t="shared" si="13"/>
        <v>64.75</v>
      </c>
      <c r="R43" s="164">
        <f t="shared" si="3"/>
        <v>105</v>
      </c>
      <c r="S43" s="231">
        <f t="shared" si="4"/>
        <v>15.75</v>
      </c>
    </row>
    <row r="44" spans="1:19" ht="24.95" customHeight="1">
      <c r="A44" s="4"/>
      <c r="B44" s="52">
        <v>1</v>
      </c>
      <c r="C44" s="379" t="s">
        <v>180</v>
      </c>
      <c r="D44" s="379"/>
      <c r="E44" s="379"/>
      <c r="F44" s="379"/>
      <c r="G44" s="379"/>
      <c r="H44" s="379"/>
      <c r="I44" s="379"/>
      <c r="J44" s="84"/>
      <c r="K44" s="424"/>
      <c r="L44" s="425"/>
      <c r="M44" s="14"/>
      <c r="N44" s="168">
        <v>9</v>
      </c>
      <c r="O44" s="230">
        <f t="shared" si="8"/>
        <v>1.3499999999999999</v>
      </c>
      <c r="P44" s="55">
        <f t="shared" si="12"/>
        <v>6.3</v>
      </c>
      <c r="Q44" s="55">
        <f t="shared" si="13"/>
        <v>16.649999999999999</v>
      </c>
      <c r="R44" s="164">
        <f t="shared" si="3"/>
        <v>9</v>
      </c>
      <c r="S44" s="231">
        <f t="shared" si="4"/>
        <v>1.3499999999999999</v>
      </c>
    </row>
    <row r="45" spans="1:19" ht="28.35" customHeight="1">
      <c r="A45" s="4"/>
      <c r="B45" s="52">
        <v>1</v>
      </c>
      <c r="C45" s="385" t="s">
        <v>181</v>
      </c>
      <c r="D45" s="386"/>
      <c r="E45" s="386"/>
      <c r="F45" s="386"/>
      <c r="G45" s="386"/>
      <c r="H45" s="386"/>
      <c r="I45" s="387"/>
      <c r="J45" s="84"/>
      <c r="K45" s="424"/>
      <c r="L45" s="425"/>
      <c r="M45" s="14"/>
      <c r="N45" s="171">
        <v>468</v>
      </c>
      <c r="O45" s="230">
        <f t="shared" si="8"/>
        <v>70.2</v>
      </c>
      <c r="P45" s="55">
        <f t="shared" si="12"/>
        <v>327.59999999999997</v>
      </c>
      <c r="Q45" s="55">
        <f t="shared" si="13"/>
        <v>865.8</v>
      </c>
      <c r="R45" s="171">
        <f t="shared" si="3"/>
        <v>468</v>
      </c>
      <c r="S45" s="171">
        <f t="shared" si="4"/>
        <v>70.2</v>
      </c>
    </row>
    <row r="46" spans="1:19" ht="28.35" customHeight="1">
      <c r="A46" s="4"/>
      <c r="B46" s="52">
        <v>1</v>
      </c>
      <c r="C46" s="385" t="s">
        <v>182</v>
      </c>
      <c r="D46" s="386"/>
      <c r="E46" s="386"/>
      <c r="F46" s="386"/>
      <c r="G46" s="386"/>
      <c r="H46" s="386"/>
      <c r="I46" s="387"/>
      <c r="J46" s="84"/>
      <c r="K46" s="424"/>
      <c r="L46" s="425"/>
      <c r="M46" s="14"/>
      <c r="N46" s="168">
        <v>22.45</v>
      </c>
      <c r="O46" s="230">
        <f t="shared" si="8"/>
        <v>3.3674999999999997</v>
      </c>
      <c r="P46" s="55">
        <f t="shared" si="12"/>
        <v>15.714999999999998</v>
      </c>
      <c r="Q46" s="55">
        <f t="shared" si="13"/>
        <v>41.532499999999999</v>
      </c>
      <c r="R46" s="164">
        <f t="shared" si="3"/>
        <v>22.45</v>
      </c>
      <c r="S46" s="231">
        <f t="shared" si="4"/>
        <v>3.3674999999999997</v>
      </c>
    </row>
    <row r="47" spans="1:19" ht="28.35" customHeight="1">
      <c r="A47" s="4"/>
      <c r="B47" s="52">
        <v>1</v>
      </c>
      <c r="C47" s="379" t="s">
        <v>183</v>
      </c>
      <c r="D47" s="379"/>
      <c r="E47" s="379"/>
      <c r="F47" s="379"/>
      <c r="G47" s="379"/>
      <c r="H47" s="379"/>
      <c r="I47" s="379"/>
      <c r="J47" s="84"/>
      <c r="K47" s="424"/>
      <c r="L47" s="425"/>
      <c r="M47" s="14"/>
      <c r="N47" s="168">
        <v>61.2</v>
      </c>
      <c r="O47" s="230">
        <f t="shared" si="8"/>
        <v>9.18</v>
      </c>
      <c r="P47" s="55">
        <f t="shared" si="12"/>
        <v>42.839999999999996</v>
      </c>
      <c r="Q47" s="55">
        <f t="shared" si="13"/>
        <v>113.22</v>
      </c>
      <c r="R47" s="164">
        <f t="shared" si="3"/>
        <v>61.2</v>
      </c>
      <c r="S47" s="231">
        <f t="shared" si="4"/>
        <v>9.18</v>
      </c>
    </row>
    <row r="48" spans="1:19" ht="24.95" customHeight="1">
      <c r="A48" s="4"/>
      <c r="B48" s="52">
        <v>1</v>
      </c>
      <c r="C48" s="379" t="s">
        <v>184</v>
      </c>
      <c r="D48" s="379"/>
      <c r="E48" s="379"/>
      <c r="F48" s="379"/>
      <c r="G48" s="379"/>
      <c r="H48" s="379"/>
      <c r="I48" s="379"/>
      <c r="J48" s="84"/>
      <c r="K48" s="424"/>
      <c r="L48" s="425"/>
      <c r="M48" s="14"/>
      <c r="N48" s="168">
        <v>5.08</v>
      </c>
      <c r="O48" s="230">
        <f t="shared" si="8"/>
        <v>0.76200000000000001</v>
      </c>
      <c r="P48" s="55">
        <f t="shared" si="12"/>
        <v>3.5559999999999996</v>
      </c>
      <c r="Q48" s="55">
        <f t="shared" si="13"/>
        <v>9.3979999999999997</v>
      </c>
      <c r="R48" s="164">
        <f t="shared" si="3"/>
        <v>5.08</v>
      </c>
      <c r="S48" s="231">
        <f t="shared" si="4"/>
        <v>0.76200000000000001</v>
      </c>
    </row>
    <row r="49" spans="1:19" ht="24.95" customHeight="1">
      <c r="A49" s="4"/>
      <c r="B49" s="139"/>
      <c r="C49" s="438"/>
      <c r="D49" s="438"/>
      <c r="E49" s="438"/>
      <c r="F49" s="438"/>
      <c r="G49" s="438"/>
      <c r="H49" s="438"/>
      <c r="I49" s="438"/>
      <c r="J49" s="84"/>
      <c r="K49" s="424"/>
      <c r="L49" s="425"/>
      <c r="M49" s="14"/>
      <c r="N49" s="236"/>
      <c r="O49" s="230"/>
      <c r="P49" s="55"/>
      <c r="Q49" s="55"/>
      <c r="R49" s="164">
        <f>SUM(R21:R48)</f>
        <v>31369.280000000002</v>
      </c>
      <c r="S49" s="164">
        <f>SUM(S21:S48)</f>
        <v>3617.7419999999997</v>
      </c>
    </row>
    <row r="50" spans="1:19" ht="24.95" customHeight="1">
      <c r="A50" s="4"/>
      <c r="B50" s="139"/>
      <c r="C50" s="265"/>
      <c r="D50" s="266"/>
      <c r="E50" s="266"/>
      <c r="F50" s="266"/>
      <c r="G50" s="266"/>
      <c r="H50" s="266"/>
      <c r="I50" s="267"/>
      <c r="J50" s="84"/>
      <c r="K50" s="250"/>
      <c r="L50" s="251"/>
      <c r="M50" s="14"/>
      <c r="N50" s="236"/>
      <c r="O50" s="230"/>
      <c r="P50" s="55"/>
      <c r="Q50" s="55"/>
      <c r="R50" s="164"/>
      <c r="S50" s="237"/>
    </row>
    <row r="51" spans="1:19" ht="24.95" customHeight="1">
      <c r="A51" s="4"/>
      <c r="B51" s="139"/>
      <c r="C51" s="265"/>
      <c r="D51" s="266"/>
      <c r="E51" s="266"/>
      <c r="F51" s="266"/>
      <c r="G51" s="266"/>
      <c r="H51" s="266"/>
      <c r="I51" s="267"/>
      <c r="J51" s="84"/>
      <c r="K51" s="250"/>
      <c r="L51" s="251"/>
      <c r="M51" s="14"/>
      <c r="N51" s="236"/>
      <c r="O51" s="230"/>
      <c r="P51" s="55"/>
      <c r="Q51" s="55"/>
      <c r="R51" s="164"/>
      <c r="S51" s="237"/>
    </row>
    <row r="52" spans="1:19" ht="24.95" customHeight="1">
      <c r="A52" s="4"/>
      <c r="B52" s="139"/>
      <c r="C52" s="265"/>
      <c r="D52" s="266"/>
      <c r="E52" s="266"/>
      <c r="F52" s="266"/>
      <c r="G52" s="266"/>
      <c r="H52" s="266"/>
      <c r="I52" s="267"/>
      <c r="J52" s="84"/>
      <c r="K52" s="250"/>
      <c r="L52" s="251"/>
      <c r="M52" s="14"/>
      <c r="N52" s="236"/>
      <c r="O52" s="230"/>
      <c r="P52" s="55"/>
      <c r="Q52" s="55"/>
      <c r="R52" s="164"/>
      <c r="S52" s="237"/>
    </row>
    <row r="53" spans="1:19" ht="28.35" customHeight="1">
      <c r="A53" s="4"/>
      <c r="B53" s="52"/>
      <c r="C53" s="385"/>
      <c r="D53" s="386"/>
      <c r="E53" s="386"/>
      <c r="F53" s="386"/>
      <c r="G53" s="386"/>
      <c r="H53" s="386"/>
      <c r="I53" s="387"/>
      <c r="J53" s="84"/>
      <c r="K53" s="250"/>
      <c r="L53" s="251"/>
      <c r="M53" s="14"/>
      <c r="N53" s="171"/>
      <c r="O53" s="230"/>
      <c r="P53" s="55"/>
      <c r="Q53" s="55"/>
      <c r="R53" s="171"/>
      <c r="S53" s="171"/>
    </row>
    <row r="54" spans="1:19" ht="28.35" customHeight="1">
      <c r="A54" s="4"/>
      <c r="B54" s="52"/>
      <c r="C54" s="385"/>
      <c r="D54" s="386"/>
      <c r="E54" s="386"/>
      <c r="F54" s="386"/>
      <c r="G54" s="386"/>
      <c r="H54" s="386"/>
      <c r="I54" s="387"/>
      <c r="J54" s="84"/>
      <c r="K54" s="250"/>
      <c r="L54" s="251"/>
      <c r="M54" s="14"/>
      <c r="N54" s="168"/>
      <c r="O54" s="230"/>
      <c r="P54" s="55"/>
      <c r="Q54" s="55"/>
      <c r="R54" s="164"/>
      <c r="S54" s="231"/>
    </row>
    <row r="55" spans="1:19" ht="28.35" customHeight="1">
      <c r="A55" s="4"/>
      <c r="B55" s="52"/>
      <c r="C55" s="149"/>
      <c r="D55" s="150"/>
      <c r="E55" s="150"/>
      <c r="F55" s="150"/>
      <c r="G55" s="150"/>
      <c r="H55" s="150"/>
      <c r="I55" s="151"/>
      <c r="J55" s="84"/>
      <c r="K55" s="250"/>
      <c r="L55" s="251"/>
      <c r="M55" s="14"/>
      <c r="N55" s="168"/>
      <c r="O55" s="230"/>
      <c r="P55" s="55"/>
      <c r="Q55" s="55"/>
      <c r="R55" s="164"/>
      <c r="S55" s="231"/>
    </row>
    <row r="56" spans="1:19" ht="28.35" customHeight="1">
      <c r="A56" s="4"/>
      <c r="B56" s="52"/>
      <c r="C56" s="379"/>
      <c r="D56" s="379"/>
      <c r="E56" s="379"/>
      <c r="F56" s="379"/>
      <c r="G56" s="379"/>
      <c r="H56" s="379"/>
      <c r="I56" s="379"/>
      <c r="J56" s="84"/>
      <c r="K56" s="250"/>
      <c r="L56" s="251"/>
      <c r="M56" s="14"/>
      <c r="N56" s="168"/>
      <c r="O56" s="230"/>
      <c r="P56" s="55"/>
      <c r="Q56" s="55"/>
      <c r="R56" s="164"/>
      <c r="S56" s="231"/>
    </row>
    <row r="57" spans="1:19" ht="28.35" customHeight="1">
      <c r="A57" s="4"/>
      <c r="B57" s="50"/>
      <c r="C57" s="149"/>
      <c r="D57" s="150"/>
      <c r="E57" s="150"/>
      <c r="F57" s="150"/>
      <c r="G57" s="150"/>
      <c r="H57" s="150"/>
      <c r="I57" s="151"/>
      <c r="J57" s="84"/>
      <c r="K57" s="250"/>
      <c r="L57" s="251"/>
      <c r="M57" s="14"/>
      <c r="N57" s="168"/>
      <c r="O57" s="55"/>
      <c r="P57" s="55"/>
      <c r="Q57" s="55"/>
      <c r="R57" s="164"/>
      <c r="S57" s="231"/>
    </row>
    <row r="58" spans="1:19" ht="27.75" customHeight="1">
      <c r="A58" s="4"/>
      <c r="B58" s="50"/>
      <c r="C58" s="155"/>
      <c r="D58" s="156"/>
      <c r="E58" s="156"/>
      <c r="F58" s="156"/>
      <c r="G58" s="156"/>
      <c r="H58" s="156"/>
      <c r="I58" s="157"/>
      <c r="J58" s="102"/>
      <c r="K58" s="433"/>
      <c r="L58" s="434"/>
      <c r="M58" s="51"/>
    </row>
    <row r="59" spans="1:19" ht="24.75" customHeight="1">
      <c r="A59" s="15"/>
      <c r="B59" s="136"/>
      <c r="C59" s="435"/>
      <c r="D59" s="435"/>
      <c r="E59" s="435"/>
      <c r="F59" s="435"/>
      <c r="G59" s="435"/>
      <c r="H59" s="435"/>
      <c r="I59" s="435"/>
      <c r="J59" s="135"/>
      <c r="K59" s="436"/>
      <c r="L59" s="437"/>
      <c r="M59" s="137"/>
      <c r="Q59" s="55"/>
      <c r="R59" s="164"/>
    </row>
  </sheetData>
  <mergeCells count="89">
    <mergeCell ref="G2:I2"/>
    <mergeCell ref="G3:I3"/>
    <mergeCell ref="B4:F5"/>
    <mergeCell ref="G4:I4"/>
    <mergeCell ref="J4:K4"/>
    <mergeCell ref="G5:I5"/>
    <mergeCell ref="J5:K5"/>
    <mergeCell ref="G6:I6"/>
    <mergeCell ref="C9:E9"/>
    <mergeCell ref="G9:I9"/>
    <mergeCell ref="J9:K9"/>
    <mergeCell ref="C10:E10"/>
    <mergeCell ref="G10:I10"/>
    <mergeCell ref="J10:L10"/>
    <mergeCell ref="C11:E11"/>
    <mergeCell ref="G11:I11"/>
    <mergeCell ref="J11:K11"/>
    <mergeCell ref="C12:E12"/>
    <mergeCell ref="G12:I12"/>
    <mergeCell ref="J12:K12"/>
    <mergeCell ref="C21:I21"/>
    <mergeCell ref="K21:L21"/>
    <mergeCell ref="C13:E13"/>
    <mergeCell ref="G13:I13"/>
    <mergeCell ref="J13:K13"/>
    <mergeCell ref="C14:E14"/>
    <mergeCell ref="G14:I14"/>
    <mergeCell ref="C15:I15"/>
    <mergeCell ref="K15:L15"/>
    <mergeCell ref="B17:L17"/>
    <mergeCell ref="C19:I19"/>
    <mergeCell ref="K19:L19"/>
    <mergeCell ref="C20:I20"/>
    <mergeCell ref="K20:L20"/>
    <mergeCell ref="C29:I29"/>
    <mergeCell ref="K29:L29"/>
    <mergeCell ref="C22:I22"/>
    <mergeCell ref="K22:L22"/>
    <mergeCell ref="C23:I23"/>
    <mergeCell ref="K23:L23"/>
    <mergeCell ref="C24:I24"/>
    <mergeCell ref="K24:L24"/>
    <mergeCell ref="C25:I25"/>
    <mergeCell ref="K25:L25"/>
    <mergeCell ref="C26:I26"/>
    <mergeCell ref="C27:I27"/>
    <mergeCell ref="C28:I28"/>
    <mergeCell ref="C37:I37"/>
    <mergeCell ref="C30:I30"/>
    <mergeCell ref="K30:L30"/>
    <mergeCell ref="C31:I31"/>
    <mergeCell ref="K31:L31"/>
    <mergeCell ref="C32:I32"/>
    <mergeCell ref="K32:L32"/>
    <mergeCell ref="C33:I33"/>
    <mergeCell ref="K33:L33"/>
    <mergeCell ref="C34:I34"/>
    <mergeCell ref="C35:I35"/>
    <mergeCell ref="C36:I36"/>
    <mergeCell ref="C38:I38"/>
    <mergeCell ref="K38:L38"/>
    <mergeCell ref="C39:I39"/>
    <mergeCell ref="K39:L39"/>
    <mergeCell ref="C40:I40"/>
    <mergeCell ref="K40:L40"/>
    <mergeCell ref="C41:I41"/>
    <mergeCell ref="K41:L41"/>
    <mergeCell ref="C42:I42"/>
    <mergeCell ref="K42:L42"/>
    <mergeCell ref="C43:I43"/>
    <mergeCell ref="K43:L43"/>
    <mergeCell ref="C44:I44"/>
    <mergeCell ref="K44:L44"/>
    <mergeCell ref="C45:I45"/>
    <mergeCell ref="K45:L45"/>
    <mergeCell ref="C46:I46"/>
    <mergeCell ref="K46:L46"/>
    <mergeCell ref="C47:I47"/>
    <mergeCell ref="K47:L47"/>
    <mergeCell ref="C48:I48"/>
    <mergeCell ref="K48:L48"/>
    <mergeCell ref="C49:I49"/>
    <mergeCell ref="K49:L49"/>
    <mergeCell ref="C53:I53"/>
    <mergeCell ref="C54:I54"/>
    <mergeCell ref="C56:I56"/>
    <mergeCell ref="K58:L58"/>
    <mergeCell ref="C59:I59"/>
    <mergeCell ref="K59:L59"/>
  </mergeCells>
  <dataValidations count="4">
    <dataValidation allowBlank="1" showInputMessage="1" showErrorMessage="1" promptTitle="Información de la organización" prompt="Para escribir varias líneas en una celda, use Alt+Entrar.  También puede personalizar esta plantilla y guardarla como una nueva para su uso posterior. Para más información sobre cómo crear plantillas personalizadas, vea los temas de ayuda." sqref="B1:I1" xr:uid="{00000000-0002-0000-0300-000000000000}"/>
    <dataValidation errorStyle="warning" allowBlank="1" showInputMessage="1" errorTitle="Estado" promptTitle="Estado" prompt="Escriba la abreviatura del estado en esta celda." sqref="E11" xr:uid="{00000000-0002-0000-0300-000001000000}"/>
    <dataValidation type="decimal" allowBlank="1" showErrorMessage="1" errorTitle="Precio unitario" error="Debe escribir un número en esta celda." promptTitle="Precio unitario" sqref="J19:J57" xr:uid="{00000000-0002-0000-0300-000002000000}">
      <formula1>0</formula1>
      <formula2>1000000000</formula2>
    </dataValidation>
    <dataValidation type="whole" errorStyle="warning" allowBlank="1" showErrorMessage="1" errorTitle="Cantidad" error="Debe escribir un número en esta celda." promptTitle="Cantidad" sqref="B35:B39 B33 B42:B59 B19:B25 B29:B30" xr:uid="{00000000-0002-0000-0300-000003000000}">
      <formula1>0</formula1>
      <formula2>1000000000</formula2>
    </dataValidation>
  </dataValidations>
  <hyperlinks>
    <hyperlink ref="J4" r:id="rId1" xr:uid="{00000000-0004-0000-0300-000000000000}"/>
    <hyperlink ref="J5" r:id="rId2" xr:uid="{00000000-0004-0000-0300-000001000000}"/>
  </hyperlinks>
  <pageMargins left="0.23622047244094491" right="0.23622047244094491" top="0.74803149606299213" bottom="0.74803149606299213" header="0.31496062992125984" footer="0.31496062992125984"/>
  <pageSetup paperSize="9" orientation="portrait" r:id="rId3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2"/>
  <dimension ref="A1:V132"/>
  <sheetViews>
    <sheetView workbookViewId="0">
      <selection activeCell="C24" sqref="C24:I24"/>
    </sheetView>
  </sheetViews>
  <sheetFormatPr baseColWidth="10" defaultColWidth="2.7109375" defaultRowHeight="10.5"/>
  <cols>
    <col min="1" max="1" width="1.28515625" style="5" customWidth="1"/>
    <col min="2" max="2" width="15.7109375" style="5" customWidth="1"/>
    <col min="3" max="3" width="14.5703125" style="5" customWidth="1"/>
    <col min="4" max="4" width="9.140625" style="5" customWidth="1"/>
    <col min="5" max="5" width="8.42578125" style="5" customWidth="1"/>
    <col min="6" max="6" width="1.28515625" style="5" customWidth="1"/>
    <col min="7" max="7" width="8.28515625" style="5" customWidth="1"/>
    <col min="8" max="8" width="1.42578125" style="5" customWidth="1"/>
    <col min="9" max="9" width="4.28515625" style="5" customWidth="1"/>
    <col min="10" max="10" width="15.28515625" style="78" customWidth="1"/>
    <col min="11" max="11" width="16.7109375" style="5" customWidth="1"/>
    <col min="12" max="12" width="1.140625" style="5" customWidth="1"/>
    <col min="13" max="13" width="1.28515625" style="5" customWidth="1"/>
    <col min="14" max="14" width="20.5703125" style="172" customWidth="1"/>
    <col min="15" max="17" width="23.5703125" style="158" customWidth="1"/>
    <col min="18" max="18" width="21.42578125" style="163" customWidth="1"/>
    <col min="19" max="19" width="16" style="169" customWidth="1"/>
    <col min="20" max="20" width="19.7109375" style="172" customWidth="1"/>
    <col min="21" max="22" width="2.7109375" style="172"/>
    <col min="23" max="16384" width="2.7109375" style="5"/>
  </cols>
  <sheetData>
    <row r="1" spans="1:22" ht="12.75" thickBot="1">
      <c r="A1" s="19"/>
      <c r="B1" s="20"/>
      <c r="C1" s="20"/>
      <c r="D1" s="21"/>
      <c r="E1" s="21"/>
      <c r="F1" s="21"/>
      <c r="G1" s="21"/>
      <c r="H1" s="21"/>
      <c r="I1" s="21"/>
      <c r="J1" s="22"/>
      <c r="K1" s="23"/>
      <c r="L1" s="24"/>
      <c r="M1" s="24"/>
    </row>
    <row r="2" spans="1:22" ht="12">
      <c r="A2" s="4"/>
      <c r="B2" s="25"/>
      <c r="C2" s="26"/>
      <c r="D2" s="27"/>
      <c r="E2" s="27"/>
      <c r="F2" s="27"/>
      <c r="G2" s="349" t="s">
        <v>0</v>
      </c>
      <c r="H2" s="350"/>
      <c r="I2" s="350"/>
      <c r="J2" s="28" t="s">
        <v>1</v>
      </c>
      <c r="K2" s="29"/>
      <c r="L2" s="30"/>
      <c r="M2" s="30"/>
    </row>
    <row r="3" spans="1:22" ht="12">
      <c r="A3" s="4"/>
      <c r="B3" s="25"/>
      <c r="C3" s="31"/>
      <c r="D3" s="32"/>
      <c r="E3" s="32"/>
      <c r="F3" s="32"/>
      <c r="G3" s="351" t="s">
        <v>2</v>
      </c>
      <c r="H3" s="352"/>
      <c r="I3" s="352"/>
      <c r="J3" s="18" t="s">
        <v>3</v>
      </c>
      <c r="K3" s="18" t="s">
        <v>4</v>
      </c>
      <c r="L3" s="112"/>
      <c r="M3" s="112"/>
    </row>
    <row r="4" spans="1:22" ht="14.25" customHeight="1">
      <c r="A4" s="34"/>
      <c r="B4" s="398" t="s">
        <v>5</v>
      </c>
      <c r="C4" s="398"/>
      <c r="D4" s="398"/>
      <c r="E4" s="398"/>
      <c r="F4" s="399"/>
      <c r="G4" s="351" t="s">
        <v>6</v>
      </c>
      <c r="H4" s="352"/>
      <c r="I4" s="352"/>
      <c r="J4" s="359" t="s">
        <v>7</v>
      </c>
      <c r="K4" s="359"/>
      <c r="L4" s="14"/>
      <c r="M4" s="14"/>
    </row>
    <row r="5" spans="1:22" ht="12.75" thickBot="1">
      <c r="A5" s="4"/>
      <c r="B5" s="400"/>
      <c r="C5" s="400"/>
      <c r="D5" s="400"/>
      <c r="E5" s="400"/>
      <c r="F5" s="401"/>
      <c r="G5" s="351" t="s">
        <v>8</v>
      </c>
      <c r="H5" s="352"/>
      <c r="I5" s="352"/>
      <c r="J5" s="359" t="s">
        <v>9</v>
      </c>
      <c r="K5" s="359"/>
      <c r="L5" s="14"/>
      <c r="M5" s="14"/>
    </row>
    <row r="6" spans="1:22" ht="12.75" thickBot="1">
      <c r="A6" s="4"/>
      <c r="B6" s="35"/>
      <c r="C6" s="35"/>
      <c r="D6" s="35"/>
      <c r="E6" s="35"/>
      <c r="F6" s="35"/>
      <c r="G6" s="361"/>
      <c r="H6" s="361"/>
      <c r="I6" s="361"/>
      <c r="J6" s="36"/>
      <c r="K6" s="35"/>
      <c r="L6" s="14"/>
      <c r="M6" s="14"/>
    </row>
    <row r="7" spans="1:22" ht="12.75" thickBot="1">
      <c r="A7" s="4"/>
      <c r="B7" s="37" t="s">
        <v>10</v>
      </c>
      <c r="C7" s="38"/>
      <c r="D7" s="39"/>
      <c r="E7" s="39"/>
      <c r="F7" s="40"/>
      <c r="G7" s="41"/>
      <c r="H7" s="39"/>
      <c r="I7" s="41"/>
      <c r="J7" s="42"/>
      <c r="K7" s="39"/>
      <c r="L7" s="105"/>
      <c r="M7" s="14"/>
      <c r="N7" s="163"/>
      <c r="T7" s="5"/>
      <c r="U7" s="5"/>
      <c r="V7" s="5"/>
    </row>
    <row r="8" spans="1:22" ht="12">
      <c r="A8" s="10"/>
      <c r="B8" s="39"/>
      <c r="C8" s="35"/>
      <c r="D8" s="35"/>
      <c r="E8" s="35"/>
      <c r="F8" s="11"/>
      <c r="G8" s="35"/>
      <c r="H8" s="35"/>
      <c r="I8" s="35"/>
      <c r="J8" s="26"/>
      <c r="K8" s="35"/>
      <c r="L8" s="14"/>
      <c r="M8" s="14"/>
      <c r="N8" s="163"/>
      <c r="T8" s="5"/>
      <c r="U8" s="5"/>
      <c r="V8" s="5"/>
    </row>
    <row r="9" spans="1:22" ht="12">
      <c r="A9" s="10"/>
      <c r="B9" s="148" t="s">
        <v>11</v>
      </c>
      <c r="C9" s="355" t="s">
        <v>66</v>
      </c>
      <c r="D9" s="355"/>
      <c r="E9" s="355"/>
      <c r="F9" s="11"/>
      <c r="G9" s="354" t="s">
        <v>12</v>
      </c>
      <c r="H9" s="352"/>
      <c r="I9" s="352"/>
      <c r="J9" s="394">
        <v>43159</v>
      </c>
      <c r="K9" s="394"/>
      <c r="L9" s="79"/>
      <c r="M9" s="14"/>
      <c r="N9" s="163"/>
      <c r="T9" s="5"/>
      <c r="U9" s="5"/>
      <c r="V9" s="5"/>
    </row>
    <row r="10" spans="1:22" ht="25.5" customHeight="1">
      <c r="A10" s="10"/>
      <c r="B10" s="148" t="s">
        <v>13</v>
      </c>
      <c r="C10" s="395" t="s">
        <v>67</v>
      </c>
      <c r="D10" s="395"/>
      <c r="E10" s="395"/>
      <c r="F10" s="11"/>
      <c r="G10" s="354" t="s">
        <v>14</v>
      </c>
      <c r="H10" s="352"/>
      <c r="I10" s="352"/>
      <c r="J10" s="396" t="s">
        <v>79</v>
      </c>
      <c r="K10" s="396"/>
      <c r="L10" s="397"/>
      <c r="M10" s="14"/>
      <c r="N10" s="163"/>
      <c r="T10" s="5"/>
      <c r="U10" s="5"/>
      <c r="V10" s="5"/>
    </row>
    <row r="11" spans="1:22" ht="12">
      <c r="A11" s="10"/>
      <c r="B11" s="148" t="s">
        <v>15</v>
      </c>
      <c r="C11" s="353" t="s">
        <v>16</v>
      </c>
      <c r="D11" s="353"/>
      <c r="E11" s="353"/>
      <c r="F11" s="11"/>
      <c r="G11" s="354" t="s">
        <v>17</v>
      </c>
      <c r="H11" s="352"/>
      <c r="I11" s="352"/>
      <c r="J11" s="392">
        <v>1</v>
      </c>
      <c r="K11" s="392"/>
      <c r="L11" s="79"/>
      <c r="M11" s="14"/>
      <c r="N11" s="163"/>
      <c r="T11" s="5"/>
      <c r="U11" s="5"/>
      <c r="V11" s="5"/>
    </row>
    <row r="12" spans="1:22" ht="12">
      <c r="A12" s="10"/>
      <c r="B12" s="148"/>
      <c r="C12" s="353"/>
      <c r="D12" s="353"/>
      <c r="E12" s="353"/>
      <c r="F12" s="11"/>
      <c r="G12" s="354" t="s">
        <v>18</v>
      </c>
      <c r="H12" s="352"/>
      <c r="I12" s="352"/>
      <c r="J12" s="392">
        <v>1</v>
      </c>
      <c r="K12" s="392"/>
      <c r="L12" s="79"/>
      <c r="M12" s="14"/>
      <c r="N12" s="163"/>
      <c r="T12" s="5"/>
      <c r="U12" s="5"/>
      <c r="V12" s="5"/>
    </row>
    <row r="13" spans="1:22" ht="12">
      <c r="A13" s="10"/>
      <c r="B13" s="148" t="s">
        <v>19</v>
      </c>
      <c r="C13" s="353" t="s">
        <v>77</v>
      </c>
      <c r="D13" s="353"/>
      <c r="E13" s="353"/>
      <c r="F13" s="11"/>
      <c r="G13" s="354" t="s">
        <v>20</v>
      </c>
      <c r="H13" s="352"/>
      <c r="I13" s="352"/>
      <c r="J13" s="392" t="s">
        <v>78</v>
      </c>
      <c r="K13" s="392"/>
      <c r="L13" s="79"/>
      <c r="M13" s="14"/>
      <c r="N13" s="163"/>
      <c r="T13" s="5"/>
      <c r="U13" s="5"/>
      <c r="V13" s="5"/>
    </row>
    <row r="14" spans="1:22" ht="12">
      <c r="A14" s="10"/>
      <c r="B14" s="146"/>
      <c r="C14" s="367"/>
      <c r="D14" s="367"/>
      <c r="E14" s="367"/>
      <c r="F14" s="11"/>
      <c r="G14" s="368"/>
      <c r="H14" s="369"/>
      <c r="I14" s="369"/>
      <c r="J14" s="80"/>
      <c r="K14" s="81"/>
      <c r="L14" s="82"/>
      <c r="M14" s="14"/>
      <c r="N14" s="163"/>
      <c r="T14" s="5"/>
      <c r="U14" s="5"/>
      <c r="V14" s="5"/>
    </row>
    <row r="15" spans="1:22" ht="12">
      <c r="A15" s="10"/>
      <c r="B15" s="147" t="s">
        <v>21</v>
      </c>
      <c r="C15" s="370" t="s">
        <v>22</v>
      </c>
      <c r="D15" s="371"/>
      <c r="E15" s="371"/>
      <c r="F15" s="371"/>
      <c r="G15" s="371"/>
      <c r="H15" s="371"/>
      <c r="I15" s="372"/>
      <c r="J15" s="17" t="s">
        <v>23</v>
      </c>
      <c r="K15" s="373" t="s">
        <v>24</v>
      </c>
      <c r="L15" s="373"/>
      <c r="M15" s="14"/>
      <c r="N15" s="172" t="s">
        <v>51</v>
      </c>
      <c r="O15" s="158" t="s">
        <v>52</v>
      </c>
      <c r="P15" s="158" t="s">
        <v>42</v>
      </c>
      <c r="Q15" s="158" t="s">
        <v>25</v>
      </c>
      <c r="R15" s="163" t="s">
        <v>26</v>
      </c>
      <c r="S15" s="169" t="s">
        <v>58</v>
      </c>
    </row>
    <row r="16" spans="1:22" ht="12">
      <c r="A16" s="4"/>
      <c r="B16" s="43"/>
      <c r="C16" s="44"/>
      <c r="D16" s="44"/>
      <c r="E16" s="44"/>
      <c r="F16" s="44"/>
      <c r="G16" s="44"/>
      <c r="H16" s="44"/>
      <c r="I16" s="44"/>
      <c r="J16" s="96"/>
      <c r="K16" s="45"/>
      <c r="L16" s="46"/>
      <c r="M16" s="14"/>
      <c r="N16" s="172" t="s">
        <v>73</v>
      </c>
      <c r="O16" s="159">
        <v>0.15</v>
      </c>
      <c r="P16" s="159">
        <v>0.15</v>
      </c>
      <c r="Q16" s="172"/>
      <c r="R16" s="172"/>
      <c r="S16" s="172"/>
    </row>
    <row r="17" spans="1:22" ht="12">
      <c r="A17" s="4"/>
      <c r="B17" s="373" t="s">
        <v>76</v>
      </c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14"/>
      <c r="N17" s="172" t="s">
        <v>74</v>
      </c>
      <c r="O17" s="159">
        <v>0.1</v>
      </c>
      <c r="P17" s="159">
        <v>0.12</v>
      </c>
    </row>
    <row r="18" spans="1:22" ht="12">
      <c r="A18" s="4"/>
      <c r="B18" s="123"/>
      <c r="C18" s="416"/>
      <c r="D18" s="416"/>
      <c r="E18" s="416"/>
      <c r="F18" s="416"/>
      <c r="G18" s="416"/>
      <c r="H18" s="416"/>
      <c r="I18" s="416"/>
      <c r="J18" s="124"/>
      <c r="K18" s="417"/>
      <c r="L18" s="418"/>
      <c r="M18" s="14"/>
      <c r="N18" s="172" t="s">
        <v>75</v>
      </c>
      <c r="O18" s="159">
        <v>0.15</v>
      </c>
      <c r="P18" s="159">
        <v>0.4</v>
      </c>
    </row>
    <row r="19" spans="1:22" ht="24.95" hidden="1" customHeight="1">
      <c r="A19" s="4"/>
      <c r="B19" s="107"/>
      <c r="C19" s="402"/>
      <c r="D19" s="402"/>
      <c r="E19" s="402"/>
      <c r="F19" s="402"/>
      <c r="G19" s="402"/>
      <c r="H19" s="402"/>
      <c r="I19" s="402"/>
      <c r="J19" s="48"/>
      <c r="K19" s="403"/>
      <c r="L19" s="404"/>
      <c r="M19" s="14"/>
      <c r="N19" s="173"/>
      <c r="T19" s="174"/>
    </row>
    <row r="20" spans="1:22" ht="21.75" customHeight="1">
      <c r="A20" s="4"/>
      <c r="B20" s="107">
        <v>1</v>
      </c>
      <c r="C20" s="476" t="s">
        <v>68</v>
      </c>
      <c r="D20" s="476"/>
      <c r="E20" s="476"/>
      <c r="F20" s="476"/>
      <c r="G20" s="476"/>
      <c r="H20" s="476"/>
      <c r="I20" s="476"/>
      <c r="J20" s="180">
        <f>Q20</f>
        <v>8967.0244000000002</v>
      </c>
      <c r="K20" s="380">
        <f t="shared" ref="K20:K26" si="0">J20*B20</f>
        <v>8967.0244000000002</v>
      </c>
      <c r="L20" s="381"/>
      <c r="M20" s="14"/>
      <c r="N20" s="173">
        <v>7350.02</v>
      </c>
      <c r="O20" s="142">
        <f>N20*$O$17</f>
        <v>735.00200000000007</v>
      </c>
      <c r="P20" s="145">
        <f>N20*$P$17</f>
        <v>882.00239999999997</v>
      </c>
      <c r="Q20" s="145">
        <f>N20+O20+P20</f>
        <v>8967.0244000000002</v>
      </c>
      <c r="R20" s="165">
        <f>N20*B20</f>
        <v>7350.02</v>
      </c>
      <c r="S20" s="170">
        <f>O20*B20</f>
        <v>735.00200000000007</v>
      </c>
      <c r="T20" s="174"/>
    </row>
    <row r="21" spans="1:22" ht="24.95" customHeight="1">
      <c r="A21" s="4"/>
      <c r="B21" s="107">
        <v>1</v>
      </c>
      <c r="C21" s="476" t="s">
        <v>69</v>
      </c>
      <c r="D21" s="476"/>
      <c r="E21" s="476"/>
      <c r="F21" s="476"/>
      <c r="G21" s="476"/>
      <c r="H21" s="476"/>
      <c r="I21" s="476"/>
      <c r="J21" s="99">
        <f t="shared" ref="J21:J26" si="1">Q21</f>
        <v>1562.4</v>
      </c>
      <c r="K21" s="380">
        <f t="shared" si="0"/>
        <v>1562.4</v>
      </c>
      <c r="L21" s="381"/>
      <c r="M21" s="14"/>
      <c r="N21" s="173">
        <v>1008</v>
      </c>
      <c r="O21" s="142">
        <f t="shared" ref="O21:O26" si="2">N21*$O$18</f>
        <v>151.19999999999999</v>
      </c>
      <c r="P21" s="145">
        <f t="shared" ref="P21:P26" si="3">N21*$P$18</f>
        <v>403.20000000000005</v>
      </c>
      <c r="Q21" s="145">
        <f t="shared" ref="Q21:Q26" si="4">N21+O21+P21</f>
        <v>1562.4</v>
      </c>
      <c r="R21" s="165">
        <f t="shared" ref="R21:R26" si="5">N21*B21</f>
        <v>1008</v>
      </c>
      <c r="S21" s="170">
        <f t="shared" ref="S21:S26" si="6">O21*B21</f>
        <v>151.19999999999999</v>
      </c>
      <c r="T21" s="174"/>
    </row>
    <row r="22" spans="1:22" ht="24.95" customHeight="1">
      <c r="A22" s="4"/>
      <c r="B22" s="107">
        <v>1</v>
      </c>
      <c r="C22" s="477" t="s">
        <v>70</v>
      </c>
      <c r="D22" s="478"/>
      <c r="E22" s="478"/>
      <c r="F22" s="478"/>
      <c r="G22" s="478"/>
      <c r="H22" s="478"/>
      <c r="I22" s="479"/>
      <c r="J22" s="99">
        <f t="shared" si="1"/>
        <v>259.15999999999997</v>
      </c>
      <c r="K22" s="380">
        <f t="shared" si="0"/>
        <v>259.15999999999997</v>
      </c>
      <c r="L22" s="381"/>
      <c r="M22" s="14"/>
      <c r="N22" s="173">
        <v>167.2</v>
      </c>
      <c r="O22" s="142">
        <f t="shared" si="2"/>
        <v>25.08</v>
      </c>
      <c r="P22" s="145">
        <f t="shared" si="3"/>
        <v>66.88</v>
      </c>
      <c r="Q22" s="145">
        <f t="shared" si="4"/>
        <v>259.15999999999997</v>
      </c>
      <c r="R22" s="165">
        <f t="shared" si="5"/>
        <v>167.2</v>
      </c>
      <c r="S22" s="170">
        <f t="shared" si="6"/>
        <v>25.08</v>
      </c>
      <c r="T22" s="174"/>
    </row>
    <row r="23" spans="1:22" ht="24.95" customHeight="1">
      <c r="A23" s="4"/>
      <c r="B23" s="113">
        <v>2</v>
      </c>
      <c r="C23" s="379" t="s">
        <v>61</v>
      </c>
      <c r="D23" s="379"/>
      <c r="E23" s="379"/>
      <c r="F23" s="379"/>
      <c r="G23" s="379"/>
      <c r="H23" s="379"/>
      <c r="I23" s="379"/>
      <c r="J23" s="99">
        <f t="shared" si="1"/>
        <v>54.25</v>
      </c>
      <c r="K23" s="380">
        <f t="shared" si="0"/>
        <v>108.5</v>
      </c>
      <c r="L23" s="381"/>
      <c r="M23" s="14"/>
      <c r="N23" s="173">
        <v>35</v>
      </c>
      <c r="O23" s="142">
        <f t="shared" si="2"/>
        <v>5.25</v>
      </c>
      <c r="P23" s="145">
        <f t="shared" si="3"/>
        <v>14</v>
      </c>
      <c r="Q23" s="145">
        <f t="shared" si="4"/>
        <v>54.25</v>
      </c>
      <c r="R23" s="165">
        <f t="shared" si="5"/>
        <v>70</v>
      </c>
      <c r="S23" s="170">
        <f t="shared" si="6"/>
        <v>10.5</v>
      </c>
      <c r="T23" s="174"/>
    </row>
    <row r="24" spans="1:22" ht="24.95" customHeight="1">
      <c r="A24" s="4"/>
      <c r="B24" s="107">
        <v>1</v>
      </c>
      <c r="C24" s="379" t="s">
        <v>71</v>
      </c>
      <c r="D24" s="379"/>
      <c r="E24" s="379"/>
      <c r="F24" s="379"/>
      <c r="G24" s="379"/>
      <c r="H24" s="379"/>
      <c r="I24" s="379"/>
      <c r="J24" s="99">
        <f t="shared" si="1"/>
        <v>62</v>
      </c>
      <c r="K24" s="380">
        <f t="shared" si="0"/>
        <v>62</v>
      </c>
      <c r="L24" s="381"/>
      <c r="M24" s="14"/>
      <c r="N24" s="173">
        <v>40</v>
      </c>
      <c r="O24" s="142">
        <f t="shared" si="2"/>
        <v>6</v>
      </c>
      <c r="P24" s="145">
        <f t="shared" si="3"/>
        <v>16</v>
      </c>
      <c r="Q24" s="145">
        <f t="shared" si="4"/>
        <v>62</v>
      </c>
      <c r="R24" s="165">
        <f t="shared" si="5"/>
        <v>40</v>
      </c>
      <c r="S24" s="170">
        <f t="shared" si="6"/>
        <v>6</v>
      </c>
      <c r="T24" s="174"/>
    </row>
    <row r="25" spans="1:22" ht="24.95" customHeight="1">
      <c r="A25" s="4"/>
      <c r="B25" s="107">
        <v>2</v>
      </c>
      <c r="C25" s="389" t="s">
        <v>72</v>
      </c>
      <c r="D25" s="390"/>
      <c r="E25" s="390"/>
      <c r="F25" s="390"/>
      <c r="G25" s="390"/>
      <c r="H25" s="390"/>
      <c r="I25" s="391"/>
      <c r="J25" s="99">
        <f t="shared" si="1"/>
        <v>1006.2</v>
      </c>
      <c r="K25" s="380">
        <f t="shared" si="0"/>
        <v>2012.4</v>
      </c>
      <c r="L25" s="381"/>
      <c r="M25" s="14"/>
      <c r="N25" s="173">
        <v>774</v>
      </c>
      <c r="O25" s="142">
        <f>N25*$O$16</f>
        <v>116.1</v>
      </c>
      <c r="P25" s="145">
        <f>N25*$P$16</f>
        <v>116.1</v>
      </c>
      <c r="Q25" s="145">
        <f t="shared" si="4"/>
        <v>1006.2</v>
      </c>
      <c r="R25" s="165">
        <f t="shared" si="5"/>
        <v>1548</v>
      </c>
      <c r="S25" s="170">
        <f t="shared" si="6"/>
        <v>232.2</v>
      </c>
    </row>
    <row r="26" spans="1:22" ht="24.95" customHeight="1">
      <c r="A26" s="4"/>
      <c r="B26" s="107">
        <v>1</v>
      </c>
      <c r="C26" s="379" t="s">
        <v>57</v>
      </c>
      <c r="D26" s="379"/>
      <c r="E26" s="379"/>
      <c r="F26" s="379"/>
      <c r="G26" s="379"/>
      <c r="H26" s="379"/>
      <c r="I26" s="379"/>
      <c r="J26" s="99">
        <f t="shared" si="1"/>
        <v>110.20499999999998</v>
      </c>
      <c r="K26" s="380">
        <f t="shared" si="0"/>
        <v>110.20499999999998</v>
      </c>
      <c r="L26" s="381"/>
      <c r="M26" s="14"/>
      <c r="N26" s="173">
        <v>71.099999999999994</v>
      </c>
      <c r="O26" s="142">
        <f t="shared" si="2"/>
        <v>10.664999999999999</v>
      </c>
      <c r="P26" s="145">
        <f t="shared" si="3"/>
        <v>28.439999999999998</v>
      </c>
      <c r="Q26" s="145">
        <f t="shared" si="4"/>
        <v>110.20499999999998</v>
      </c>
      <c r="R26" s="165">
        <f t="shared" si="5"/>
        <v>71.099999999999994</v>
      </c>
      <c r="S26" s="170">
        <f t="shared" si="6"/>
        <v>10.664999999999999</v>
      </c>
    </row>
    <row r="27" spans="1:22" ht="21.75" customHeight="1">
      <c r="A27" s="10"/>
      <c r="B27" s="107"/>
      <c r="C27" s="473"/>
      <c r="D27" s="474"/>
      <c r="E27" s="474"/>
      <c r="F27" s="474"/>
      <c r="G27" s="474"/>
      <c r="H27" s="474"/>
      <c r="I27" s="475"/>
      <c r="J27" s="48"/>
      <c r="K27" s="380"/>
      <c r="L27" s="381"/>
      <c r="M27" s="10"/>
      <c r="N27" s="185"/>
      <c r="O27" s="142"/>
      <c r="P27" s="145"/>
      <c r="Q27" s="145"/>
      <c r="R27" s="165"/>
      <c r="S27" s="170"/>
      <c r="T27" s="6"/>
      <c r="U27" s="5"/>
      <c r="V27" s="5"/>
    </row>
    <row r="28" spans="1:22" ht="24.95" customHeight="1">
      <c r="A28" s="4"/>
      <c r="B28" s="108"/>
      <c r="C28" s="402"/>
      <c r="D28" s="402"/>
      <c r="E28" s="402"/>
      <c r="F28" s="402"/>
      <c r="G28" s="402"/>
      <c r="H28" s="402"/>
      <c r="I28" s="402"/>
      <c r="J28" s="48"/>
      <c r="K28" s="407"/>
      <c r="L28" s="408"/>
      <c r="M28" s="14"/>
      <c r="N28" s="173"/>
      <c r="O28" s="142"/>
      <c r="P28" s="145"/>
      <c r="Q28" s="145"/>
      <c r="R28" s="165"/>
      <c r="S28" s="170"/>
      <c r="T28" s="174"/>
    </row>
    <row r="29" spans="1:22" ht="24.95" customHeight="1">
      <c r="A29" s="4"/>
      <c r="B29" s="108"/>
      <c r="C29" s="402"/>
      <c r="D29" s="402"/>
      <c r="E29" s="402"/>
      <c r="F29" s="402"/>
      <c r="G29" s="402"/>
      <c r="H29" s="402"/>
      <c r="I29" s="402"/>
      <c r="J29" s="48"/>
      <c r="K29" s="403"/>
      <c r="L29" s="404"/>
      <c r="M29" s="14"/>
      <c r="N29" s="175"/>
      <c r="O29" s="142"/>
      <c r="P29" s="145"/>
      <c r="Q29" s="145"/>
      <c r="R29" s="165"/>
      <c r="S29" s="170"/>
      <c r="T29" s="174"/>
    </row>
    <row r="30" spans="1:22" ht="24.95" customHeight="1">
      <c r="A30" s="4"/>
      <c r="B30" s="108"/>
      <c r="C30" s="402"/>
      <c r="D30" s="402"/>
      <c r="E30" s="402"/>
      <c r="F30" s="402"/>
      <c r="G30" s="402"/>
      <c r="H30" s="402"/>
      <c r="I30" s="402"/>
      <c r="J30" s="16" t="s">
        <v>24</v>
      </c>
      <c r="K30" s="409">
        <f>SUM(K20:L28)</f>
        <v>13081.689399999999</v>
      </c>
      <c r="L30" s="410"/>
      <c r="M30" s="14"/>
      <c r="N30" s="173"/>
      <c r="O30" s="162" t="s">
        <v>59</v>
      </c>
      <c r="P30" s="171">
        <f>SUM(R17:R27)</f>
        <v>10254.320000000002</v>
      </c>
      <c r="Q30" s="145"/>
      <c r="R30" s="165"/>
      <c r="S30" s="170"/>
      <c r="T30" s="174"/>
    </row>
    <row r="31" spans="1:22" ht="24.95" customHeight="1">
      <c r="A31" s="4"/>
      <c r="B31" s="107"/>
      <c r="C31" s="402"/>
      <c r="D31" s="402"/>
      <c r="E31" s="402"/>
      <c r="F31" s="402"/>
      <c r="G31" s="402"/>
      <c r="H31" s="402"/>
      <c r="I31" s="402"/>
      <c r="J31" s="48"/>
      <c r="K31" s="403"/>
      <c r="L31" s="404"/>
      <c r="M31" s="14"/>
      <c r="N31" s="173"/>
      <c r="O31" s="158" t="s">
        <v>56</v>
      </c>
      <c r="P31" s="171">
        <f>SUM(S18:S27)</f>
        <v>1170.6469999999999</v>
      </c>
      <c r="Q31" s="145"/>
      <c r="R31" s="165"/>
      <c r="S31" s="170"/>
      <c r="T31" s="174"/>
    </row>
    <row r="32" spans="1:22" ht="24.95" customHeight="1">
      <c r="A32" s="4"/>
      <c r="B32" s="107"/>
      <c r="C32" s="402"/>
      <c r="D32" s="402"/>
      <c r="E32" s="402"/>
      <c r="F32" s="402"/>
      <c r="G32" s="402"/>
      <c r="H32" s="402"/>
      <c r="I32" s="402"/>
      <c r="J32" s="48"/>
      <c r="K32" s="403"/>
      <c r="L32" s="404"/>
      <c r="M32" s="14"/>
      <c r="N32" s="173"/>
      <c r="P32" s="171"/>
      <c r="Q32" s="145"/>
      <c r="R32" s="165"/>
      <c r="S32" s="170"/>
      <c r="T32" s="174"/>
    </row>
    <row r="33" spans="1:22" ht="24.95" customHeight="1">
      <c r="A33" s="4"/>
      <c r="B33" s="107"/>
      <c r="C33" s="402"/>
      <c r="D33" s="402"/>
      <c r="E33" s="402"/>
      <c r="F33" s="402"/>
      <c r="G33" s="402"/>
      <c r="H33" s="402"/>
      <c r="I33" s="402"/>
      <c r="J33" s="48"/>
      <c r="K33" s="403"/>
      <c r="L33" s="404"/>
      <c r="M33" s="14"/>
      <c r="N33" s="173"/>
      <c r="Q33" s="145"/>
      <c r="R33" s="165"/>
      <c r="S33" s="170"/>
      <c r="T33" s="174"/>
    </row>
    <row r="34" spans="1:22" ht="24.95" customHeight="1">
      <c r="A34" s="4"/>
      <c r="B34" s="107"/>
      <c r="C34" s="402"/>
      <c r="D34" s="402"/>
      <c r="E34" s="402"/>
      <c r="F34" s="402"/>
      <c r="G34" s="402"/>
      <c r="H34" s="402"/>
      <c r="I34" s="402"/>
      <c r="J34" s="48"/>
      <c r="K34" s="403"/>
      <c r="L34" s="404"/>
      <c r="M34" s="14"/>
      <c r="N34" s="173"/>
      <c r="O34" s="158" t="s">
        <v>60</v>
      </c>
      <c r="P34" s="202">
        <f>K30-P30-P31</f>
        <v>1656.7223999999978</v>
      </c>
      <c r="Q34" s="145"/>
      <c r="R34" s="165"/>
      <c r="S34" s="170"/>
      <c r="T34" s="174"/>
    </row>
    <row r="35" spans="1:22" ht="24.95" customHeight="1">
      <c r="A35" s="4"/>
      <c r="B35" s="107"/>
      <c r="C35" s="402"/>
      <c r="D35" s="402"/>
      <c r="E35" s="402"/>
      <c r="F35" s="402"/>
      <c r="G35" s="402"/>
      <c r="H35" s="402"/>
      <c r="I35" s="402"/>
      <c r="J35" s="48"/>
      <c r="K35" s="403"/>
      <c r="L35" s="404"/>
      <c r="M35" s="14"/>
      <c r="N35" s="173"/>
      <c r="O35" s="142"/>
      <c r="P35" s="145"/>
      <c r="Q35" s="145"/>
      <c r="R35" s="165"/>
      <c r="S35" s="170"/>
      <c r="T35" s="174"/>
    </row>
    <row r="36" spans="1:22" ht="24.95" customHeight="1">
      <c r="A36" s="4"/>
      <c r="B36" s="107"/>
      <c r="C36" s="402"/>
      <c r="D36" s="402"/>
      <c r="E36" s="466"/>
      <c r="F36" s="466"/>
      <c r="G36" s="466"/>
      <c r="H36" s="466"/>
      <c r="I36" s="466"/>
      <c r="J36" s="48"/>
      <c r="K36" s="467"/>
      <c r="L36" s="468"/>
      <c r="M36" s="14"/>
      <c r="N36" s="175"/>
      <c r="O36" s="142"/>
      <c r="P36" s="145"/>
      <c r="Q36" s="145"/>
      <c r="R36" s="165"/>
      <c r="S36" s="170"/>
      <c r="T36" s="174"/>
    </row>
    <row r="37" spans="1:22" ht="24.95" customHeight="1">
      <c r="A37" s="4"/>
      <c r="B37" s="107"/>
      <c r="C37" s="149"/>
      <c r="D37" s="150"/>
      <c r="E37" s="150"/>
      <c r="F37" s="150"/>
      <c r="G37" s="150"/>
      <c r="H37" s="150"/>
      <c r="I37" s="151"/>
      <c r="J37" s="48"/>
      <c r="K37" s="467"/>
      <c r="L37" s="468"/>
      <c r="M37" s="14"/>
      <c r="N37" s="175"/>
      <c r="O37" s="142"/>
      <c r="P37" s="145"/>
      <c r="Q37" s="145"/>
      <c r="R37" s="165"/>
      <c r="S37" s="170"/>
      <c r="T37" s="174"/>
    </row>
    <row r="38" spans="1:22" ht="24.95" customHeight="1">
      <c r="A38" s="4"/>
      <c r="B38" s="107"/>
      <c r="C38" s="149"/>
      <c r="D38" s="150"/>
      <c r="E38" s="150"/>
      <c r="F38" s="150"/>
      <c r="G38" s="150"/>
      <c r="H38" s="150"/>
      <c r="I38" s="151"/>
      <c r="J38" s="48"/>
      <c r="K38" s="467"/>
      <c r="L38" s="468"/>
      <c r="M38" s="14"/>
      <c r="N38" s="175"/>
      <c r="O38" s="142"/>
      <c r="P38" s="145"/>
      <c r="Q38" s="145"/>
      <c r="R38" s="165"/>
      <c r="S38" s="170"/>
      <c r="T38" s="174"/>
    </row>
    <row r="39" spans="1:22" ht="24.95" customHeight="1">
      <c r="A39" s="4"/>
      <c r="B39" s="108"/>
      <c r="C39" s="402"/>
      <c r="D39" s="469"/>
      <c r="E39" s="469"/>
      <c r="F39" s="469"/>
      <c r="G39" s="469"/>
      <c r="H39" s="469"/>
      <c r="I39" s="469"/>
      <c r="J39" s="48"/>
      <c r="K39" s="403"/>
      <c r="L39" s="404"/>
      <c r="M39" s="14"/>
      <c r="N39" s="173"/>
      <c r="O39" s="142"/>
      <c r="P39" s="145"/>
      <c r="Q39" s="145"/>
      <c r="R39" s="165"/>
      <c r="S39" s="170"/>
      <c r="T39" s="174"/>
    </row>
    <row r="40" spans="1:22" ht="24.95" customHeight="1">
      <c r="A40" s="15"/>
      <c r="B40" s="186"/>
      <c r="C40" s="470"/>
      <c r="D40" s="470"/>
      <c r="E40" s="470"/>
      <c r="F40" s="470"/>
      <c r="G40" s="470"/>
      <c r="H40" s="470"/>
      <c r="I40" s="470"/>
      <c r="J40" s="106"/>
      <c r="K40" s="471"/>
      <c r="L40" s="472"/>
      <c r="M40" s="85"/>
      <c r="N40" s="173"/>
      <c r="O40" s="142"/>
      <c r="P40" s="145"/>
      <c r="Q40" s="145"/>
      <c r="R40" s="165"/>
      <c r="S40" s="170"/>
      <c r="T40" s="174"/>
    </row>
    <row r="41" spans="1:22" s="55" customFormat="1" ht="12.75">
      <c r="A41" s="53"/>
      <c r="B41" s="464" t="s">
        <v>38</v>
      </c>
      <c r="C41" s="373"/>
      <c r="D41" s="373"/>
      <c r="E41" s="373"/>
      <c r="F41" s="373"/>
      <c r="G41" s="373"/>
      <c r="H41" s="373"/>
      <c r="I41" s="373"/>
      <c r="J41" s="373"/>
      <c r="K41" s="464"/>
      <c r="L41" s="464"/>
      <c r="M41" s="54"/>
      <c r="N41" s="176"/>
      <c r="O41" s="142"/>
      <c r="P41" s="145"/>
      <c r="Q41" s="145"/>
      <c r="R41" s="165"/>
      <c r="S41" s="170"/>
      <c r="T41" s="177"/>
      <c r="U41" s="177"/>
      <c r="V41" s="177"/>
    </row>
    <row r="42" spans="1:22" s="55" customFormat="1" ht="9.75" customHeight="1">
      <c r="A42" s="53"/>
      <c r="B42" s="57"/>
      <c r="C42" s="58"/>
      <c r="D42" s="58"/>
      <c r="E42" s="58"/>
      <c r="F42" s="58"/>
      <c r="G42" s="58"/>
      <c r="H42" s="58"/>
      <c r="I42" s="58"/>
      <c r="J42" s="97"/>
      <c r="K42" s="58"/>
      <c r="L42" s="60"/>
      <c r="M42" s="54"/>
      <c r="N42" s="176"/>
      <c r="O42" s="142"/>
      <c r="P42" s="145"/>
      <c r="Q42" s="145"/>
      <c r="R42" s="165"/>
      <c r="S42" s="170"/>
      <c r="T42" s="177"/>
      <c r="U42" s="177"/>
      <c r="V42" s="177"/>
    </row>
    <row r="43" spans="1:22" ht="12.75" customHeight="1">
      <c r="A43" s="53"/>
      <c r="B43" s="61"/>
      <c r="C43" s="465" t="s">
        <v>76</v>
      </c>
      <c r="D43" s="465"/>
      <c r="E43" s="465"/>
      <c r="F43" s="465"/>
      <c r="G43" s="465"/>
      <c r="H43" s="465"/>
      <c r="I43" s="465"/>
      <c r="J43" s="98"/>
      <c r="K43" s="63"/>
      <c r="L43" s="64"/>
      <c r="M43" s="54"/>
      <c r="N43" s="178"/>
      <c r="O43" s="142"/>
      <c r="P43" s="145"/>
      <c r="Q43" s="145"/>
      <c r="R43" s="165"/>
      <c r="S43" s="170"/>
    </row>
    <row r="44" spans="1:22" ht="12.75" hidden="1">
      <c r="A44" s="53"/>
      <c r="B44" s="61"/>
      <c r="C44" s="366"/>
      <c r="D44" s="366"/>
      <c r="E44" s="366"/>
      <c r="F44" s="366"/>
      <c r="G44" s="366"/>
      <c r="H44" s="366"/>
      <c r="I44" s="366"/>
      <c r="J44" s="98"/>
      <c r="K44" s="63"/>
      <c r="L44" s="64"/>
      <c r="M44" s="54"/>
      <c r="N44" s="178"/>
      <c r="O44" s="142"/>
      <c r="P44" s="145"/>
      <c r="Q44" s="145"/>
      <c r="R44" s="165"/>
      <c r="S44" s="170"/>
    </row>
    <row r="45" spans="1:22" ht="6.75" customHeight="1">
      <c r="A45" s="53"/>
      <c r="B45" s="61"/>
      <c r="C45" s="154"/>
      <c r="D45" s="154"/>
      <c r="E45" s="154"/>
      <c r="F45" s="154"/>
      <c r="G45" s="154"/>
      <c r="H45" s="154"/>
      <c r="I45" s="154"/>
      <c r="J45" s="98"/>
      <c r="K45" s="63"/>
      <c r="L45" s="64"/>
      <c r="M45" s="54"/>
      <c r="N45" s="178"/>
      <c r="O45" s="142"/>
      <c r="P45" s="145"/>
      <c r="Q45" s="145"/>
      <c r="R45" s="165"/>
      <c r="S45" s="170"/>
    </row>
    <row r="46" spans="1:22" ht="12.75">
      <c r="A46" s="53"/>
      <c r="B46" s="61"/>
      <c r="C46" s="65" t="s">
        <v>28</v>
      </c>
      <c r="D46" s="33"/>
      <c r="E46" s="33"/>
      <c r="F46" s="33"/>
      <c r="G46" s="33"/>
      <c r="H46" s="33"/>
      <c r="I46" s="33"/>
      <c r="J46" s="98"/>
      <c r="K46" s="66">
        <f>K30</f>
        <v>13081.689399999999</v>
      </c>
      <c r="L46" s="64"/>
      <c r="M46" s="54"/>
      <c r="N46" s="178"/>
      <c r="O46" s="142"/>
      <c r="P46" s="145"/>
      <c r="Q46" s="145"/>
      <c r="R46" s="165"/>
      <c r="S46" s="170"/>
    </row>
    <row r="47" spans="1:22" ht="12.75">
      <c r="A47" s="53"/>
      <c r="B47" s="61"/>
      <c r="C47" s="33"/>
      <c r="D47" s="33"/>
      <c r="E47" s="33"/>
      <c r="F47" s="33"/>
      <c r="G47" s="33"/>
      <c r="H47" s="33"/>
      <c r="I47" s="33"/>
      <c r="J47" s="98"/>
      <c r="K47" s="63"/>
      <c r="L47" s="64"/>
      <c r="M47" s="54"/>
      <c r="N47" s="178"/>
      <c r="O47" s="142"/>
      <c r="P47" s="145"/>
      <c r="Q47" s="145"/>
      <c r="R47" s="165"/>
      <c r="S47" s="170"/>
    </row>
    <row r="48" spans="1:22" ht="12.75">
      <c r="A48" s="53"/>
      <c r="B48" s="61"/>
      <c r="C48" s="67"/>
      <c r="D48" s="33"/>
      <c r="E48" s="33"/>
      <c r="F48" s="33"/>
      <c r="G48" s="33"/>
      <c r="H48" s="33"/>
      <c r="I48" s="33"/>
      <c r="J48" s="98"/>
      <c r="K48" s="63"/>
      <c r="L48" s="64"/>
      <c r="M48" s="54"/>
      <c r="N48" s="178"/>
      <c r="O48" s="142"/>
      <c r="P48" s="145"/>
      <c r="Q48" s="145"/>
      <c r="R48" s="165"/>
      <c r="S48" s="170"/>
    </row>
    <row r="49" spans="1:22" ht="12.75">
      <c r="A49" s="53"/>
      <c r="B49" s="61"/>
      <c r="C49" s="67"/>
      <c r="D49" s="33"/>
      <c r="E49" s="33"/>
      <c r="F49" s="33"/>
      <c r="G49" s="33"/>
      <c r="H49" s="33"/>
      <c r="I49" s="33"/>
      <c r="J49" s="98"/>
      <c r="K49" s="63"/>
      <c r="L49" s="64"/>
      <c r="M49" s="54"/>
      <c r="N49" s="178"/>
      <c r="O49" s="142"/>
      <c r="P49" s="145"/>
      <c r="Q49" s="145"/>
      <c r="R49" s="165"/>
      <c r="S49" s="170"/>
    </row>
    <row r="50" spans="1:22" ht="12.75">
      <c r="A50" s="53"/>
      <c r="B50" s="61"/>
      <c r="C50" s="67"/>
      <c r="D50" s="33"/>
      <c r="E50" s="33"/>
      <c r="F50" s="33"/>
      <c r="G50" s="33"/>
      <c r="H50" s="33"/>
      <c r="I50" s="33"/>
      <c r="J50" s="98"/>
      <c r="K50" s="63"/>
      <c r="L50" s="64"/>
      <c r="M50" s="54"/>
      <c r="N50" s="178"/>
      <c r="O50" s="142"/>
      <c r="P50" s="145"/>
      <c r="Q50" s="145"/>
      <c r="R50" s="165"/>
      <c r="S50" s="170"/>
    </row>
    <row r="51" spans="1:22" s="55" customFormat="1" ht="12.75">
      <c r="A51" s="87"/>
      <c r="B51" s="204" t="s">
        <v>90</v>
      </c>
      <c r="C51" s="205"/>
      <c r="D51" s="33"/>
      <c r="E51" s="33"/>
      <c r="F51" s="33"/>
      <c r="G51" s="33"/>
      <c r="H51" s="33"/>
      <c r="I51" s="33"/>
      <c r="J51" s="98"/>
      <c r="K51" s="66"/>
      <c r="L51" s="68"/>
      <c r="M51" s="54"/>
      <c r="N51" s="176"/>
      <c r="O51" s="142"/>
      <c r="P51" s="145"/>
      <c r="Q51" s="145"/>
      <c r="R51" s="165"/>
      <c r="S51" s="170"/>
      <c r="T51" s="177"/>
      <c r="U51" s="177"/>
      <c r="V51" s="177"/>
    </row>
    <row r="52" spans="1:22" s="55" customFormat="1" ht="12.75">
      <c r="A52" s="53"/>
      <c r="B52" s="152"/>
      <c r="C52" s="153"/>
      <c r="D52" s="33"/>
      <c r="E52" s="33"/>
      <c r="F52" s="33"/>
      <c r="G52" s="33"/>
      <c r="H52" s="33"/>
      <c r="I52" s="33"/>
      <c r="J52" s="115"/>
      <c r="K52" s="116"/>
      <c r="L52" s="64"/>
      <c r="M52" s="54"/>
      <c r="N52" s="172"/>
      <c r="O52" s="142"/>
      <c r="P52" s="145"/>
      <c r="Q52" s="145"/>
      <c r="R52" s="165"/>
      <c r="S52" s="170"/>
      <c r="T52" s="177"/>
      <c r="U52" s="177"/>
      <c r="V52" s="177"/>
    </row>
    <row r="53" spans="1:22" s="55" customFormat="1" ht="12.75">
      <c r="A53" s="87"/>
      <c r="B53" s="461"/>
      <c r="C53" s="462"/>
      <c r="D53" s="33"/>
      <c r="E53" s="33"/>
      <c r="F53" s="33"/>
      <c r="G53" s="33"/>
      <c r="H53" s="33"/>
      <c r="I53" s="33"/>
      <c r="J53" s="98"/>
      <c r="K53" s="63"/>
      <c r="L53" s="64"/>
      <c r="M53" s="54"/>
      <c r="N53" s="176"/>
      <c r="O53" s="142"/>
      <c r="P53" s="145"/>
      <c r="Q53" s="145"/>
      <c r="R53" s="165"/>
      <c r="S53" s="170"/>
      <c r="T53" s="177"/>
      <c r="U53" s="177"/>
      <c r="V53" s="177"/>
    </row>
    <row r="54" spans="1:22" s="55" customFormat="1" ht="12.75">
      <c r="A54" s="87"/>
      <c r="B54" s="461"/>
      <c r="C54" s="462"/>
      <c r="D54" s="33"/>
      <c r="E54" s="33"/>
      <c r="F54" s="33"/>
      <c r="G54" s="33"/>
      <c r="H54" s="33"/>
      <c r="I54" s="33"/>
      <c r="J54" s="98"/>
      <c r="K54" s="63"/>
      <c r="L54" s="64"/>
      <c r="M54" s="54"/>
      <c r="N54" s="176"/>
      <c r="O54" s="142"/>
      <c r="P54" s="145"/>
      <c r="Q54" s="145"/>
      <c r="R54" s="165"/>
      <c r="S54" s="170"/>
      <c r="T54" s="177"/>
      <c r="U54" s="177"/>
      <c r="V54" s="177"/>
    </row>
    <row r="55" spans="1:22" s="55" customFormat="1" ht="12.75">
      <c r="A55" s="87"/>
      <c r="B55" s="152" t="s">
        <v>64</v>
      </c>
      <c r="C55" s="153"/>
      <c r="D55" s="33"/>
      <c r="E55" s="33"/>
      <c r="F55" s="33"/>
      <c r="G55" s="33"/>
      <c r="H55" s="33"/>
      <c r="I55" s="33"/>
      <c r="J55" s="98"/>
      <c r="K55" s="63"/>
      <c r="L55" s="64"/>
      <c r="M55" s="54"/>
      <c r="N55" s="176"/>
      <c r="O55" s="142"/>
      <c r="P55" s="145"/>
      <c r="Q55" s="145"/>
      <c r="R55" s="165"/>
      <c r="S55" s="170"/>
      <c r="T55" s="177"/>
      <c r="U55" s="177"/>
      <c r="V55" s="177"/>
    </row>
    <row r="56" spans="1:22" s="55" customFormat="1" ht="12.75">
      <c r="A56" s="87"/>
      <c r="B56" s="461" t="s">
        <v>47</v>
      </c>
      <c r="C56" s="462"/>
      <c r="D56" s="33"/>
      <c r="E56" s="33"/>
      <c r="F56" s="33"/>
      <c r="G56" s="33"/>
      <c r="H56" s="33"/>
      <c r="I56" s="33"/>
      <c r="J56" s="98"/>
      <c r="K56" s="63"/>
      <c r="L56" s="64"/>
      <c r="M56" s="54"/>
      <c r="N56" s="176"/>
      <c r="O56" s="142"/>
      <c r="P56" s="145"/>
      <c r="Q56" s="145"/>
      <c r="R56" s="165"/>
      <c r="S56" s="170"/>
      <c r="T56" s="177"/>
      <c r="U56" s="177"/>
      <c r="V56" s="177"/>
    </row>
    <row r="57" spans="1:22" s="55" customFormat="1" ht="12.75">
      <c r="A57" s="87"/>
      <c r="B57" s="461" t="s">
        <v>48</v>
      </c>
      <c r="C57" s="462"/>
      <c r="D57" s="33"/>
      <c r="E57" s="33"/>
      <c r="F57" s="33"/>
      <c r="G57" s="33"/>
      <c r="H57" s="33"/>
      <c r="I57" s="33"/>
      <c r="J57" s="98"/>
      <c r="K57" s="63"/>
      <c r="L57" s="64"/>
      <c r="M57" s="54"/>
      <c r="N57" s="176"/>
      <c r="O57" s="142"/>
      <c r="P57" s="145"/>
      <c r="Q57" s="145"/>
      <c r="R57" s="165"/>
      <c r="S57" s="170"/>
      <c r="T57" s="177"/>
      <c r="U57" s="177"/>
      <c r="V57" s="177"/>
    </row>
    <row r="58" spans="1:22" s="55" customFormat="1" ht="12.75">
      <c r="A58" s="87"/>
      <c r="B58" s="461" t="s">
        <v>49</v>
      </c>
      <c r="C58" s="462"/>
      <c r="D58" s="33"/>
      <c r="E58" s="33"/>
      <c r="F58" s="33"/>
      <c r="G58" s="33"/>
      <c r="H58" s="33"/>
      <c r="I58" s="33"/>
      <c r="J58" s="98"/>
      <c r="K58" s="63"/>
      <c r="L58" s="64"/>
      <c r="M58" s="54"/>
      <c r="N58" s="176"/>
      <c r="O58" s="142"/>
      <c r="P58" s="145"/>
      <c r="Q58" s="145"/>
      <c r="R58" s="165"/>
      <c r="S58" s="170"/>
      <c r="T58" s="177"/>
      <c r="U58" s="177"/>
      <c r="V58" s="177"/>
    </row>
    <row r="59" spans="1:22" s="55" customFormat="1" ht="12.75">
      <c r="A59" s="87"/>
      <c r="B59" s="461" t="s">
        <v>29</v>
      </c>
      <c r="C59" s="462"/>
      <c r="D59" s="33"/>
      <c r="E59" s="33"/>
      <c r="F59" s="33"/>
      <c r="G59" s="33"/>
      <c r="H59" s="33"/>
      <c r="I59" s="33"/>
      <c r="J59" s="98"/>
      <c r="K59" s="63"/>
      <c r="L59" s="64"/>
      <c r="M59" s="54"/>
      <c r="N59" s="176"/>
      <c r="O59" s="142"/>
      <c r="P59" s="145"/>
      <c r="Q59" s="145"/>
      <c r="R59" s="165"/>
      <c r="S59" s="170"/>
      <c r="T59" s="177"/>
      <c r="U59" s="177"/>
      <c r="V59" s="177"/>
    </row>
    <row r="60" spans="1:22" s="55" customFormat="1" ht="12.75">
      <c r="A60" s="87"/>
      <c r="B60" s="461" t="s">
        <v>40</v>
      </c>
      <c r="C60" s="462"/>
      <c r="D60" s="33"/>
      <c r="E60" s="33"/>
      <c r="F60" s="33"/>
      <c r="G60" s="33"/>
      <c r="H60" s="33"/>
      <c r="I60" s="33"/>
      <c r="J60" s="98"/>
      <c r="K60" s="63"/>
      <c r="L60" s="64"/>
      <c r="M60" s="54"/>
      <c r="N60" s="176"/>
      <c r="O60" s="142"/>
      <c r="P60" s="145"/>
      <c r="Q60" s="145"/>
      <c r="R60" s="165"/>
      <c r="S60" s="170"/>
      <c r="T60" s="177"/>
      <c r="U60" s="177"/>
      <c r="V60" s="177"/>
    </row>
    <row r="61" spans="1:22" s="55" customFormat="1" ht="12.75">
      <c r="A61" s="87"/>
      <c r="B61" s="461" t="s">
        <v>39</v>
      </c>
      <c r="C61" s="462"/>
      <c r="D61" s="33"/>
      <c r="E61" s="33"/>
      <c r="F61" s="33"/>
      <c r="G61" s="33"/>
      <c r="H61" s="33"/>
      <c r="I61" s="33"/>
      <c r="J61" s="98"/>
      <c r="K61" s="63"/>
      <c r="L61" s="64"/>
      <c r="M61" s="54"/>
      <c r="N61" s="176"/>
      <c r="O61" s="142"/>
      <c r="P61" s="145"/>
      <c r="Q61" s="145"/>
      <c r="R61" s="165"/>
      <c r="S61" s="170"/>
      <c r="T61" s="177"/>
      <c r="U61" s="177"/>
      <c r="V61" s="177"/>
    </row>
    <row r="62" spans="1:22" s="55" customFormat="1" ht="12.75">
      <c r="A62" s="87"/>
      <c r="B62" s="461"/>
      <c r="C62" s="462"/>
      <c r="D62" s="129"/>
      <c r="E62" s="129"/>
      <c r="F62" s="129"/>
      <c r="G62" s="129"/>
      <c r="H62" s="129"/>
      <c r="I62" s="129"/>
      <c r="J62" s="98"/>
      <c r="K62" s="63"/>
      <c r="L62" s="64"/>
      <c r="M62" s="54"/>
      <c r="N62" s="176"/>
      <c r="O62" s="142"/>
      <c r="P62" s="145"/>
      <c r="Q62" s="145"/>
      <c r="R62" s="165"/>
      <c r="S62" s="170"/>
      <c r="T62" s="177"/>
      <c r="U62" s="177"/>
      <c r="V62" s="177"/>
    </row>
    <row r="63" spans="1:22" s="55" customFormat="1" ht="12.75">
      <c r="A63" s="87"/>
      <c r="B63" s="61"/>
      <c r="C63" s="129"/>
      <c r="D63" s="129"/>
      <c r="E63" s="129"/>
      <c r="F63" s="129"/>
      <c r="G63" s="129"/>
      <c r="H63" s="129"/>
      <c r="I63" s="129"/>
      <c r="J63" s="98"/>
      <c r="K63" s="63"/>
      <c r="L63" s="64"/>
      <c r="M63" s="54"/>
      <c r="N63" s="176"/>
      <c r="O63" s="142"/>
      <c r="P63" s="145"/>
      <c r="Q63" s="145"/>
      <c r="R63" s="165"/>
      <c r="S63" s="170"/>
      <c r="T63" s="177"/>
      <c r="U63" s="177"/>
      <c r="V63" s="177"/>
    </row>
    <row r="64" spans="1:22" s="55" customFormat="1" ht="12.75">
      <c r="A64" s="87"/>
      <c r="B64" s="152" t="s">
        <v>50</v>
      </c>
      <c r="C64" s="153"/>
      <c r="D64" s="153"/>
      <c r="E64" s="153"/>
      <c r="F64" s="153"/>
      <c r="G64" s="153"/>
      <c r="H64" s="129"/>
      <c r="I64" s="129"/>
      <c r="J64" s="98"/>
      <c r="K64" s="63"/>
      <c r="L64" s="64"/>
      <c r="M64" s="54"/>
      <c r="N64" s="176"/>
      <c r="O64" s="142"/>
      <c r="P64" s="145"/>
      <c r="Q64" s="145"/>
      <c r="R64" s="165"/>
      <c r="S64" s="170"/>
      <c r="T64" s="177"/>
      <c r="U64" s="177"/>
      <c r="V64" s="177"/>
    </row>
    <row r="65" spans="1:22" s="55" customFormat="1" ht="12.75">
      <c r="A65" s="53"/>
      <c r="B65" s="152"/>
      <c r="C65" s="153"/>
      <c r="D65" s="153"/>
      <c r="E65" s="153"/>
      <c r="F65" s="153"/>
      <c r="G65" s="153"/>
      <c r="H65" s="129"/>
      <c r="I65" s="129"/>
      <c r="J65" s="98"/>
      <c r="K65" s="63"/>
      <c r="L65" s="64"/>
      <c r="M65" s="54"/>
      <c r="N65" s="176"/>
      <c r="O65" s="142"/>
      <c r="P65" s="145"/>
      <c r="Q65" s="145"/>
      <c r="R65" s="165"/>
      <c r="S65" s="170"/>
      <c r="T65" s="177"/>
      <c r="U65" s="177"/>
      <c r="V65" s="177"/>
    </row>
    <row r="66" spans="1:22" s="55" customFormat="1" ht="12.75">
      <c r="A66" s="53"/>
      <c r="B66" s="152"/>
      <c r="C66" s="153"/>
      <c r="D66" s="153"/>
      <c r="E66" s="153"/>
      <c r="F66" s="153"/>
      <c r="G66" s="153"/>
      <c r="H66" s="129"/>
      <c r="I66" s="129"/>
      <c r="J66" s="98"/>
      <c r="K66" s="63"/>
      <c r="L66" s="64"/>
      <c r="M66" s="54"/>
      <c r="N66" s="176"/>
      <c r="O66" s="142"/>
      <c r="P66" s="145"/>
      <c r="Q66" s="145"/>
      <c r="R66" s="165"/>
      <c r="S66" s="170"/>
      <c r="T66" s="177"/>
      <c r="U66" s="177"/>
      <c r="V66" s="177"/>
    </row>
    <row r="67" spans="1:22" s="55" customFormat="1" ht="12.75">
      <c r="A67" s="53"/>
      <c r="B67" s="152"/>
      <c r="C67" s="153"/>
      <c r="D67" s="153"/>
      <c r="E67" s="153"/>
      <c r="F67" s="153"/>
      <c r="G67" s="153"/>
      <c r="H67" s="129"/>
      <c r="I67" s="129"/>
      <c r="J67" s="98"/>
      <c r="K67" s="63"/>
      <c r="L67" s="64"/>
      <c r="M67" s="54"/>
      <c r="N67" s="176"/>
      <c r="O67" s="142"/>
      <c r="P67" s="145"/>
      <c r="Q67" s="145"/>
      <c r="R67" s="165"/>
      <c r="S67" s="170"/>
      <c r="T67" s="177"/>
      <c r="U67" s="177"/>
      <c r="V67" s="177"/>
    </row>
    <row r="68" spans="1:22" s="55" customFormat="1" ht="12.75">
      <c r="A68" s="53"/>
      <c r="B68" s="152"/>
      <c r="C68" s="153"/>
      <c r="D68" s="153"/>
      <c r="E68" s="153"/>
      <c r="F68" s="153"/>
      <c r="G68" s="153"/>
      <c r="H68" s="129"/>
      <c r="I68" s="129"/>
      <c r="J68" s="98"/>
      <c r="K68" s="63"/>
      <c r="L68" s="64"/>
      <c r="M68" s="54"/>
      <c r="N68" s="176"/>
      <c r="O68" s="142"/>
      <c r="P68" s="145"/>
      <c r="Q68" s="145"/>
      <c r="R68" s="165"/>
      <c r="S68" s="170"/>
      <c r="T68" s="177"/>
      <c r="U68" s="177"/>
      <c r="V68" s="177"/>
    </row>
    <row r="69" spans="1:22" s="55" customFormat="1" ht="12.75">
      <c r="A69" s="53"/>
      <c r="B69" s="152"/>
      <c r="C69" s="153"/>
      <c r="D69" s="153"/>
      <c r="E69" s="153"/>
      <c r="F69" s="153"/>
      <c r="G69" s="153"/>
      <c r="H69" s="129"/>
      <c r="I69" s="129"/>
      <c r="J69" s="98"/>
      <c r="K69" s="63"/>
      <c r="L69" s="64"/>
      <c r="M69" s="54"/>
      <c r="N69" s="176"/>
      <c r="O69" s="142"/>
      <c r="P69" s="145"/>
      <c r="Q69" s="145"/>
      <c r="R69" s="165"/>
      <c r="S69" s="170"/>
      <c r="T69" s="177"/>
      <c r="U69" s="177"/>
      <c r="V69" s="177"/>
    </row>
    <row r="70" spans="1:22" s="55" customFormat="1" ht="12.75">
      <c r="A70" s="53"/>
      <c r="B70" s="152"/>
      <c r="C70" s="153"/>
      <c r="D70" s="153"/>
      <c r="E70" s="153"/>
      <c r="F70" s="153"/>
      <c r="G70" s="153"/>
      <c r="H70" s="129"/>
      <c r="I70" s="129"/>
      <c r="J70" s="98"/>
      <c r="K70" s="63"/>
      <c r="L70" s="64"/>
      <c r="M70" s="54"/>
      <c r="N70" s="176"/>
      <c r="O70" s="142"/>
      <c r="P70" s="145"/>
      <c r="Q70" s="145"/>
      <c r="R70" s="165"/>
      <c r="S70" s="170"/>
      <c r="T70" s="177"/>
      <c r="U70" s="177"/>
      <c r="V70" s="177"/>
    </row>
    <row r="71" spans="1:22" s="55" customFormat="1" ht="12.75">
      <c r="A71" s="53"/>
      <c r="B71" s="152"/>
      <c r="C71" s="153"/>
      <c r="D71" s="153"/>
      <c r="E71" s="153"/>
      <c r="F71" s="153"/>
      <c r="G71" s="153"/>
      <c r="H71" s="129"/>
      <c r="I71" s="129"/>
      <c r="J71" s="98"/>
      <c r="K71" s="63"/>
      <c r="L71" s="64"/>
      <c r="M71" s="54"/>
      <c r="N71" s="176"/>
      <c r="O71" s="142"/>
      <c r="P71" s="145"/>
      <c r="Q71" s="145"/>
      <c r="R71" s="165"/>
      <c r="S71" s="170"/>
      <c r="T71" s="177"/>
      <c r="U71" s="177"/>
      <c r="V71" s="177"/>
    </row>
    <row r="72" spans="1:22" s="55" customFormat="1" ht="12.75">
      <c r="A72" s="53"/>
      <c r="B72" s="152"/>
      <c r="C72" s="153"/>
      <c r="D72" s="153"/>
      <c r="E72" s="153"/>
      <c r="F72" s="153"/>
      <c r="G72" s="153"/>
      <c r="H72" s="129"/>
      <c r="I72" s="129"/>
      <c r="J72" s="98"/>
      <c r="K72" s="63"/>
      <c r="L72" s="64"/>
      <c r="M72" s="54"/>
      <c r="N72" s="176"/>
      <c r="O72" s="142"/>
      <c r="P72" s="145"/>
      <c r="Q72" s="145"/>
      <c r="R72" s="165"/>
      <c r="S72" s="170"/>
      <c r="T72" s="177"/>
      <c r="U72" s="177"/>
      <c r="V72" s="177"/>
    </row>
    <row r="73" spans="1:22" s="55" customFormat="1" ht="12.75">
      <c r="A73" s="53"/>
      <c r="B73" s="152"/>
      <c r="C73" s="153"/>
      <c r="D73" s="153"/>
      <c r="E73" s="153"/>
      <c r="F73" s="153"/>
      <c r="G73" s="153"/>
      <c r="H73" s="129"/>
      <c r="I73" s="129"/>
      <c r="J73" s="98"/>
      <c r="K73" s="63"/>
      <c r="L73" s="64"/>
      <c r="M73" s="54"/>
      <c r="N73" s="176"/>
      <c r="O73" s="142"/>
      <c r="P73" s="145"/>
      <c r="Q73" s="145"/>
      <c r="R73" s="165"/>
      <c r="S73" s="170"/>
      <c r="T73" s="177"/>
      <c r="U73" s="177"/>
      <c r="V73" s="177"/>
    </row>
    <row r="74" spans="1:22" s="55" customFormat="1" ht="12.75">
      <c r="A74" s="53"/>
      <c r="B74" s="152"/>
      <c r="C74" s="153"/>
      <c r="D74" s="153"/>
      <c r="E74" s="153"/>
      <c r="F74" s="153"/>
      <c r="G74" s="153"/>
      <c r="H74" s="129"/>
      <c r="I74" s="129"/>
      <c r="J74" s="98"/>
      <c r="K74" s="63"/>
      <c r="L74" s="64"/>
      <c r="M74" s="54"/>
      <c r="N74" s="176"/>
      <c r="O74" s="142"/>
      <c r="P74" s="145"/>
      <c r="Q74" s="145"/>
      <c r="R74" s="165"/>
      <c r="S74" s="170"/>
      <c r="T74" s="177"/>
      <c r="U74" s="177"/>
      <c r="V74" s="177"/>
    </row>
    <row r="75" spans="1:22" s="55" customFormat="1" ht="12.75">
      <c r="A75" s="53"/>
      <c r="B75" s="152"/>
      <c r="C75" s="153"/>
      <c r="D75" s="153"/>
      <c r="E75" s="153"/>
      <c r="F75" s="153"/>
      <c r="G75" s="153"/>
      <c r="H75" s="129"/>
      <c r="I75" s="129"/>
      <c r="J75" s="98"/>
      <c r="K75" s="63"/>
      <c r="L75" s="64"/>
      <c r="M75" s="54"/>
      <c r="N75" s="176"/>
      <c r="O75" s="142"/>
      <c r="P75" s="145"/>
      <c r="Q75" s="145"/>
      <c r="R75" s="165"/>
      <c r="S75" s="170"/>
      <c r="T75" s="177"/>
      <c r="U75" s="177"/>
      <c r="V75" s="177"/>
    </row>
    <row r="76" spans="1:22" s="55" customFormat="1" ht="12.75">
      <c r="A76" s="53"/>
      <c r="B76" s="61"/>
      <c r="C76" s="129"/>
      <c r="D76" s="129"/>
      <c r="E76" s="129"/>
      <c r="F76" s="129"/>
      <c r="G76" s="129"/>
      <c r="H76" s="129"/>
      <c r="I76" s="129"/>
      <c r="J76" s="98"/>
      <c r="K76" s="63"/>
      <c r="L76" s="64"/>
      <c r="M76" s="54"/>
      <c r="N76" s="176"/>
      <c r="O76" s="142"/>
      <c r="P76" s="145"/>
      <c r="Q76" s="145"/>
      <c r="R76" s="165"/>
      <c r="S76" s="170"/>
      <c r="T76" s="177"/>
      <c r="U76" s="177"/>
      <c r="V76" s="177"/>
    </row>
    <row r="77" spans="1:22" s="55" customFormat="1" ht="13.5" thickBot="1">
      <c r="A77" s="53"/>
      <c r="B77" s="61"/>
      <c r="C77" s="129"/>
      <c r="D77" s="129"/>
      <c r="E77" s="129"/>
      <c r="F77" s="129"/>
      <c r="G77" s="129"/>
      <c r="H77" s="129"/>
      <c r="I77" s="129"/>
      <c r="J77" s="98"/>
      <c r="K77" s="63"/>
      <c r="L77" s="64"/>
      <c r="M77" s="54"/>
      <c r="N77" s="176"/>
      <c r="O77" s="142"/>
      <c r="P77" s="145"/>
      <c r="Q77" s="145"/>
      <c r="R77" s="165"/>
      <c r="S77" s="170"/>
      <c r="T77" s="177"/>
      <c r="U77" s="177"/>
      <c r="V77" s="177"/>
    </row>
    <row r="78" spans="1:22" s="55" customFormat="1" ht="12.75" thickBot="1">
      <c r="A78" s="53"/>
      <c r="B78" s="69" t="s">
        <v>30</v>
      </c>
      <c r="C78" s="70"/>
      <c r="D78" s="71"/>
      <c r="E78" s="71"/>
      <c r="F78" s="72"/>
      <c r="G78" s="1"/>
      <c r="H78" s="1"/>
      <c r="I78" s="1"/>
      <c r="J78" s="62"/>
      <c r="K78" s="63"/>
      <c r="L78" s="64"/>
      <c r="M78" s="51"/>
      <c r="N78" s="56"/>
      <c r="R78" s="56"/>
      <c r="S78" s="166"/>
    </row>
    <row r="79" spans="1:22" s="55" customFormat="1" ht="12" customHeight="1">
      <c r="A79" s="53"/>
      <c r="B79" s="7" t="s">
        <v>36</v>
      </c>
      <c r="C79" s="463" t="s">
        <v>37</v>
      </c>
      <c r="D79" s="463"/>
      <c r="E79" s="463"/>
      <c r="F79" s="8"/>
      <c r="G79" s="73"/>
      <c r="H79" s="73"/>
      <c r="I79" s="73"/>
      <c r="J79" s="74"/>
      <c r="K79" s="103"/>
      <c r="L79" s="111"/>
      <c r="M79" s="54"/>
      <c r="N79" s="56"/>
      <c r="R79" s="56"/>
      <c r="S79" s="166"/>
    </row>
    <row r="80" spans="1:22" s="55" customFormat="1" ht="12.75" customHeight="1">
      <c r="A80" s="53"/>
      <c r="B80" s="7" t="s">
        <v>82</v>
      </c>
      <c r="C80" s="463" t="s">
        <v>83</v>
      </c>
      <c r="D80" s="463"/>
      <c r="E80" s="463"/>
      <c r="F80" s="75"/>
      <c r="G80" s="76"/>
      <c r="H80" s="76"/>
      <c r="I80" s="451" t="s">
        <v>31</v>
      </c>
      <c r="J80" s="452"/>
      <c r="K80" s="452"/>
      <c r="L80" s="453"/>
      <c r="M80" s="54"/>
      <c r="N80" s="56"/>
      <c r="R80" s="56"/>
      <c r="S80" s="166"/>
    </row>
    <row r="81" spans="1:19" s="55" customFormat="1" ht="12.75" customHeight="1">
      <c r="A81" s="53"/>
      <c r="B81" s="7"/>
      <c r="C81" s="446" t="s">
        <v>81</v>
      </c>
      <c r="D81" s="446"/>
      <c r="E81" s="446"/>
      <c r="F81" s="75"/>
      <c r="G81" s="76"/>
      <c r="H81" s="76"/>
      <c r="I81" s="454"/>
      <c r="J81" s="455"/>
      <c r="K81" s="455"/>
      <c r="L81" s="456"/>
      <c r="M81" s="54"/>
      <c r="N81" s="56"/>
      <c r="R81" s="56"/>
      <c r="S81" s="166"/>
    </row>
    <row r="82" spans="1:19" s="55" customFormat="1" ht="15" customHeight="1">
      <c r="A82" s="53"/>
      <c r="B82" s="7" t="s">
        <v>32</v>
      </c>
      <c r="C82" s="447" t="s">
        <v>80</v>
      </c>
      <c r="D82" s="447"/>
      <c r="E82" s="447"/>
      <c r="F82" s="448"/>
      <c r="G82" s="73"/>
      <c r="H82" s="73"/>
      <c r="I82" s="454"/>
      <c r="J82" s="455"/>
      <c r="K82" s="455"/>
      <c r="L82" s="456"/>
      <c r="M82" s="54"/>
      <c r="N82" s="56"/>
      <c r="R82" s="56"/>
      <c r="S82" s="166"/>
    </row>
    <row r="83" spans="1:19" s="55" customFormat="1" ht="15" customHeight="1">
      <c r="A83" s="53"/>
      <c r="B83" s="9" t="s">
        <v>63</v>
      </c>
      <c r="C83" s="449" t="s">
        <v>62</v>
      </c>
      <c r="D83" s="449"/>
      <c r="E83" s="449"/>
      <c r="F83" s="450"/>
      <c r="G83" s="73"/>
      <c r="H83" s="73"/>
      <c r="I83" s="454"/>
      <c r="J83" s="455"/>
      <c r="K83" s="455"/>
      <c r="L83" s="456"/>
      <c r="M83" s="54"/>
      <c r="N83" s="56"/>
      <c r="R83" s="56"/>
      <c r="S83" s="166"/>
    </row>
    <row r="84" spans="1:19" s="55" customFormat="1" ht="12.75" customHeight="1">
      <c r="A84" s="53"/>
      <c r="B84" s="7"/>
      <c r="C84" s="125"/>
      <c r="D84" s="104"/>
      <c r="E84" s="104"/>
      <c r="F84" s="77"/>
      <c r="G84" s="73"/>
      <c r="H84" s="73"/>
      <c r="I84" s="454"/>
      <c r="J84" s="455"/>
      <c r="K84" s="455"/>
      <c r="L84" s="456"/>
      <c r="M84" s="54"/>
      <c r="N84" s="56"/>
      <c r="R84" s="56"/>
      <c r="S84" s="166"/>
    </row>
    <row r="85" spans="1:19" s="55" customFormat="1" ht="15" customHeight="1">
      <c r="A85" s="53"/>
      <c r="B85" s="9"/>
      <c r="C85" s="460"/>
      <c r="D85" s="460"/>
      <c r="E85" s="460"/>
      <c r="F85" s="77"/>
      <c r="G85" s="73"/>
      <c r="H85" s="73"/>
      <c r="I85" s="457"/>
      <c r="J85" s="458"/>
      <c r="K85" s="458"/>
      <c r="L85" s="459"/>
      <c r="M85" s="54"/>
      <c r="N85" s="56"/>
      <c r="R85" s="56"/>
      <c r="S85" s="166"/>
    </row>
    <row r="86" spans="1:19" s="55" customFormat="1" ht="13.5" customHeight="1">
      <c r="A86" s="132"/>
      <c r="B86" s="370" t="s">
        <v>35</v>
      </c>
      <c r="C86" s="371"/>
      <c r="D86" s="371"/>
      <c r="E86" s="371"/>
      <c r="F86" s="371"/>
      <c r="G86" s="371"/>
      <c r="H86" s="371"/>
      <c r="I86" s="371"/>
      <c r="J86" s="371"/>
      <c r="K86" s="371"/>
      <c r="L86" s="372"/>
      <c r="M86" s="132"/>
      <c r="N86" s="56"/>
      <c r="R86" s="56"/>
      <c r="S86" s="166"/>
    </row>
    <row r="87" spans="1:19">
      <c r="O87" s="55"/>
      <c r="P87" s="55"/>
      <c r="Q87" s="55"/>
      <c r="R87" s="56"/>
      <c r="S87" s="166"/>
    </row>
    <row r="88" spans="1:19">
      <c r="Q88" s="162"/>
    </row>
    <row r="91" spans="1:19">
      <c r="O91" s="162"/>
      <c r="P91" s="171"/>
    </row>
    <row r="92" spans="1:19">
      <c r="P92" s="171"/>
    </row>
    <row r="93" spans="1:19">
      <c r="P93" s="171"/>
    </row>
    <row r="95" spans="1:19">
      <c r="P95" s="171"/>
    </row>
    <row r="96" spans="1:19">
      <c r="O96" s="55"/>
      <c r="P96" s="55"/>
      <c r="Q96" s="55"/>
      <c r="R96" s="56"/>
      <c r="S96" s="166"/>
    </row>
    <row r="97" spans="15:19">
      <c r="O97" s="55"/>
      <c r="P97" s="55"/>
      <c r="Q97" s="55"/>
      <c r="R97" s="56"/>
      <c r="S97" s="166"/>
    </row>
    <row r="98" spans="15:19">
      <c r="O98" s="55"/>
      <c r="P98" s="55"/>
      <c r="Q98" s="55"/>
      <c r="R98" s="56"/>
      <c r="S98" s="166"/>
    </row>
    <row r="99" spans="15:19">
      <c r="O99" s="55"/>
      <c r="P99" s="55"/>
      <c r="Q99" s="55"/>
      <c r="R99" s="56"/>
      <c r="S99" s="166"/>
    </row>
    <row r="100" spans="15:19">
      <c r="O100" s="55"/>
      <c r="P100" s="55"/>
      <c r="Q100" s="55"/>
      <c r="R100" s="56"/>
      <c r="S100" s="166"/>
    </row>
    <row r="101" spans="15:19">
      <c r="O101" s="55"/>
      <c r="P101" s="55"/>
      <c r="Q101" s="55"/>
      <c r="R101" s="56"/>
      <c r="S101" s="166"/>
    </row>
    <row r="102" spans="15:19">
      <c r="O102" s="55"/>
      <c r="P102" s="55"/>
      <c r="Q102" s="55"/>
      <c r="R102" s="56"/>
      <c r="S102" s="166"/>
    </row>
    <row r="103" spans="15:19">
      <c r="O103" s="55"/>
      <c r="P103" s="55"/>
      <c r="Q103" s="55"/>
      <c r="R103" s="56"/>
      <c r="S103" s="166"/>
    </row>
    <row r="104" spans="15:19">
      <c r="O104" s="55"/>
      <c r="P104" s="55"/>
      <c r="Q104" s="55"/>
      <c r="R104" s="56"/>
      <c r="S104" s="166"/>
    </row>
    <row r="105" spans="15:19">
      <c r="O105" s="55"/>
      <c r="P105" s="55"/>
      <c r="Q105" s="55"/>
      <c r="R105" s="56"/>
      <c r="S105" s="166"/>
    </row>
    <row r="106" spans="15:19">
      <c r="O106" s="55"/>
      <c r="P106" s="55"/>
      <c r="Q106" s="55"/>
      <c r="R106" s="56"/>
      <c r="S106" s="166"/>
    </row>
    <row r="107" spans="15:19">
      <c r="O107" s="55"/>
      <c r="P107" s="55"/>
      <c r="Q107" s="55"/>
      <c r="R107" s="56"/>
      <c r="S107" s="166"/>
    </row>
    <row r="108" spans="15:19">
      <c r="O108" s="55"/>
      <c r="P108" s="55"/>
      <c r="Q108" s="55"/>
      <c r="R108" s="56"/>
      <c r="S108" s="166"/>
    </row>
    <row r="109" spans="15:19">
      <c r="O109" s="55"/>
      <c r="P109" s="55"/>
      <c r="Q109" s="55"/>
      <c r="R109" s="56"/>
      <c r="S109" s="166"/>
    </row>
    <row r="110" spans="15:19">
      <c r="O110" s="55"/>
      <c r="P110" s="55"/>
      <c r="Q110" s="55"/>
      <c r="R110" s="56"/>
      <c r="S110" s="166"/>
    </row>
    <row r="111" spans="15:19">
      <c r="O111" s="55"/>
      <c r="P111" s="55"/>
      <c r="Q111" s="55"/>
      <c r="R111" s="56"/>
      <c r="S111" s="166"/>
    </row>
    <row r="112" spans="15:19">
      <c r="O112" s="55"/>
      <c r="P112" s="55"/>
      <c r="Q112" s="55"/>
      <c r="R112" s="56"/>
      <c r="S112" s="166"/>
    </row>
    <row r="113" spans="15:19">
      <c r="O113" s="55"/>
      <c r="P113" s="55"/>
      <c r="Q113" s="55"/>
      <c r="R113" s="56"/>
      <c r="S113" s="166"/>
    </row>
    <row r="114" spans="15:19">
      <c r="O114" s="55"/>
      <c r="P114" s="55"/>
      <c r="Q114" s="55"/>
      <c r="R114" s="56"/>
      <c r="S114" s="166"/>
    </row>
    <row r="115" spans="15:19">
      <c r="O115" s="55"/>
      <c r="P115" s="55"/>
      <c r="Q115" s="55"/>
      <c r="R115" s="56"/>
      <c r="S115" s="166"/>
    </row>
    <row r="116" spans="15:19">
      <c r="O116" s="55"/>
      <c r="P116" s="55"/>
      <c r="Q116" s="55"/>
      <c r="R116" s="56"/>
      <c r="S116" s="166"/>
    </row>
    <row r="117" spans="15:19">
      <c r="O117" s="55"/>
      <c r="P117" s="55"/>
      <c r="Q117" s="55"/>
      <c r="R117" s="56"/>
      <c r="S117" s="166"/>
    </row>
    <row r="118" spans="15:19">
      <c r="O118" s="55"/>
      <c r="P118" s="55"/>
      <c r="Q118" s="55"/>
      <c r="R118" s="56"/>
      <c r="S118" s="166"/>
    </row>
    <row r="119" spans="15:19">
      <c r="O119" s="55"/>
      <c r="P119" s="55"/>
      <c r="Q119" s="55"/>
      <c r="R119" s="56"/>
      <c r="S119" s="166"/>
    </row>
    <row r="120" spans="15:19">
      <c r="O120" s="55"/>
      <c r="P120" s="55"/>
      <c r="Q120" s="55"/>
      <c r="R120" s="56"/>
      <c r="S120" s="166"/>
    </row>
    <row r="121" spans="15:19">
      <c r="O121" s="55"/>
      <c r="P121" s="55"/>
      <c r="Q121" s="55"/>
      <c r="R121" s="56"/>
      <c r="S121" s="166"/>
    </row>
    <row r="122" spans="15:19">
      <c r="O122" s="55"/>
      <c r="P122" s="55"/>
      <c r="Q122" s="55"/>
      <c r="R122" s="56"/>
      <c r="S122" s="166"/>
    </row>
    <row r="123" spans="15:19">
      <c r="O123" s="55"/>
      <c r="P123" s="55"/>
      <c r="Q123" s="55"/>
      <c r="R123" s="56"/>
      <c r="S123" s="166"/>
    </row>
    <row r="124" spans="15:19">
      <c r="O124" s="55"/>
      <c r="P124" s="55"/>
      <c r="Q124" s="55"/>
      <c r="R124" s="56"/>
      <c r="S124" s="166"/>
    </row>
    <row r="125" spans="15:19">
      <c r="O125" s="55"/>
      <c r="P125" s="55"/>
      <c r="Q125" s="55"/>
      <c r="R125" s="56"/>
      <c r="S125" s="166"/>
    </row>
    <row r="126" spans="15:19">
      <c r="O126" s="55"/>
      <c r="P126" s="55"/>
      <c r="Q126" s="55"/>
      <c r="R126" s="56"/>
      <c r="S126" s="166"/>
    </row>
    <row r="127" spans="15:19">
      <c r="O127" s="55"/>
      <c r="P127" s="55"/>
      <c r="Q127" s="55"/>
      <c r="R127" s="56"/>
      <c r="S127" s="166"/>
    </row>
    <row r="128" spans="15:19">
      <c r="O128" s="55"/>
      <c r="P128" s="55"/>
      <c r="Q128" s="55"/>
      <c r="R128" s="56"/>
      <c r="S128" s="166"/>
    </row>
    <row r="129" spans="15:19">
      <c r="O129" s="55"/>
      <c r="P129" s="55"/>
      <c r="Q129" s="55"/>
      <c r="R129" s="56"/>
      <c r="S129" s="166"/>
    </row>
    <row r="130" spans="15:19">
      <c r="O130" s="55"/>
      <c r="P130" s="55"/>
      <c r="Q130" s="55"/>
      <c r="R130" s="56"/>
      <c r="S130" s="166"/>
    </row>
    <row r="131" spans="15:19">
      <c r="O131" s="55"/>
      <c r="P131" s="55"/>
      <c r="Q131" s="55"/>
      <c r="R131" s="56"/>
      <c r="S131" s="166"/>
    </row>
    <row r="132" spans="15:19">
      <c r="O132" s="55"/>
      <c r="P132" s="55"/>
      <c r="Q132" s="55"/>
      <c r="R132" s="56"/>
      <c r="S132" s="166"/>
    </row>
  </sheetData>
  <customSheetViews>
    <customSheetView guid="{A8DD552C-BE27-4C7E-BDB3-1479AD9D9E0F}" showPageBreaks="1" printArea="1" hiddenRows="1" topLeftCell="A12">
      <selection activeCell="A24" sqref="A24:XFD24"/>
      <pageMargins left="0.23622047244094491" right="0.23622047244094491" top="0.74803149606299213" bottom="0.74803149606299213" header="0.31496062992125984" footer="0.31496062992125984"/>
      <pageSetup paperSize="9" orientation="portrait" r:id="rId1"/>
    </customSheetView>
  </customSheetViews>
  <mergeCells count="92">
    <mergeCell ref="B86:L86"/>
    <mergeCell ref="K37:L37"/>
    <mergeCell ref="K38:L38"/>
    <mergeCell ref="G2:I2"/>
    <mergeCell ref="G3:I3"/>
    <mergeCell ref="B4:F5"/>
    <mergeCell ref="G4:I4"/>
    <mergeCell ref="J4:K4"/>
    <mergeCell ref="G5:I5"/>
    <mergeCell ref="J5:K5"/>
    <mergeCell ref="G6:I6"/>
    <mergeCell ref="C9:E9"/>
    <mergeCell ref="G9:I9"/>
    <mergeCell ref="J9:K9"/>
    <mergeCell ref="C10:E10"/>
    <mergeCell ref="G10:I10"/>
    <mergeCell ref="J10:L10"/>
    <mergeCell ref="C11:E11"/>
    <mergeCell ref="G11:I11"/>
    <mergeCell ref="J11:K11"/>
    <mergeCell ref="C12:E12"/>
    <mergeCell ref="G12:I12"/>
    <mergeCell ref="J12:K12"/>
    <mergeCell ref="C20:I20"/>
    <mergeCell ref="K20:L20"/>
    <mergeCell ref="C13:E13"/>
    <mergeCell ref="G13:I13"/>
    <mergeCell ref="J13:K13"/>
    <mergeCell ref="C14:E14"/>
    <mergeCell ref="G14:I14"/>
    <mergeCell ref="C15:I15"/>
    <mergeCell ref="K15:L15"/>
    <mergeCell ref="B17:L17"/>
    <mergeCell ref="C18:I18"/>
    <mergeCell ref="K18:L18"/>
    <mergeCell ref="C19:I19"/>
    <mergeCell ref="K19:L19"/>
    <mergeCell ref="C21:I21"/>
    <mergeCell ref="K21:L21"/>
    <mergeCell ref="C22:I22"/>
    <mergeCell ref="K22:L22"/>
    <mergeCell ref="C23:I23"/>
    <mergeCell ref="K23:L23"/>
    <mergeCell ref="C24:I24"/>
    <mergeCell ref="K24:L24"/>
    <mergeCell ref="C25:I25"/>
    <mergeCell ref="K25:L25"/>
    <mergeCell ref="C26:I26"/>
    <mergeCell ref="K26:L26"/>
    <mergeCell ref="C27:I27"/>
    <mergeCell ref="K27:L27"/>
    <mergeCell ref="C28:I28"/>
    <mergeCell ref="K28:L28"/>
    <mergeCell ref="C29:I29"/>
    <mergeCell ref="K29:L29"/>
    <mergeCell ref="C30:I30"/>
    <mergeCell ref="K30:L30"/>
    <mergeCell ref="C31:I31"/>
    <mergeCell ref="K31:L31"/>
    <mergeCell ref="C32:I32"/>
    <mergeCell ref="K32:L32"/>
    <mergeCell ref="C33:I33"/>
    <mergeCell ref="K33:L33"/>
    <mergeCell ref="C34:I34"/>
    <mergeCell ref="K34:L34"/>
    <mergeCell ref="C35:I35"/>
    <mergeCell ref="K35:L35"/>
    <mergeCell ref="C36:I36"/>
    <mergeCell ref="K36:L36"/>
    <mergeCell ref="C39:I39"/>
    <mergeCell ref="K39:L39"/>
    <mergeCell ref="C40:I40"/>
    <mergeCell ref="K40:L40"/>
    <mergeCell ref="B59:C59"/>
    <mergeCell ref="B41:L41"/>
    <mergeCell ref="C43:I43"/>
    <mergeCell ref="C44:I44"/>
    <mergeCell ref="B53:C53"/>
    <mergeCell ref="B54:C54"/>
    <mergeCell ref="B56:C56"/>
    <mergeCell ref="B57:C57"/>
    <mergeCell ref="B58:C58"/>
    <mergeCell ref="B60:C60"/>
    <mergeCell ref="B61:C61"/>
    <mergeCell ref="B62:C62"/>
    <mergeCell ref="C79:E79"/>
    <mergeCell ref="C80:E80"/>
    <mergeCell ref="C81:E81"/>
    <mergeCell ref="C82:F82"/>
    <mergeCell ref="C83:F83"/>
    <mergeCell ref="I80:L85"/>
    <mergeCell ref="C85:E85"/>
  </mergeCells>
  <dataValidations count="6">
    <dataValidation errorStyle="warning" allowBlank="1" showInputMessage="1" errorTitle="Número de tarjeta de crédito" promptTitle="Número de tarjeta de crédito" prompt="Escriba en este espacio el número de la tarjeta de crédito del cliente." sqref="C84:E84" xr:uid="{00000000-0002-0000-0400-000000000000}"/>
    <dataValidation errorStyle="warning" allowBlank="1" showInputMessage="1" errorTitle="Sólo para uso interno" promptTitle="Sólo para uso interno" prompt="Utilice esta sección para agregar información no incluida en ninguna otra sección de la factura. Agréguela directamente a la hoja o escríbala una vez impresa." sqref="I80:I81" xr:uid="{00000000-0002-0000-0400-000001000000}"/>
    <dataValidation type="whole" errorStyle="warning" allowBlank="1" showErrorMessage="1" errorTitle="Cantidad" error="Debe escribir un número en esta celda." promptTitle="Cantidad" sqref="B43:B78 B18" xr:uid="{00000000-0002-0000-0400-000002000000}">
      <formula1>0</formula1>
      <formula2>1000000000</formula2>
    </dataValidation>
    <dataValidation type="decimal" allowBlank="1" showErrorMessage="1" errorTitle="Precio unitario" error="Debe escribir un número en esta celda." promptTitle="Precio unitario" sqref="K36:K38 J31:J40 J18:J29 J43:J78" xr:uid="{00000000-0002-0000-0400-000003000000}">
      <formula1>0</formula1>
      <formula2>1000000000</formula2>
    </dataValidation>
    <dataValidation errorStyle="warning" allowBlank="1" showInputMessage="1" errorTitle="Estado" promptTitle="Estado" prompt="Escriba la abreviatura del estado en esta celda." sqref="E11" xr:uid="{00000000-0002-0000-0400-000004000000}"/>
    <dataValidation allowBlank="1" showInputMessage="1" showErrorMessage="1" promptTitle="Información de la organización" prompt="Para escribir varias líneas en una celda, use Alt+Entrar.  También puede personalizar esta plantilla y guardarla como una nueva para su uso posterior. Para más información sobre cómo crear plantillas personalizadas, vea los temas de ayuda." sqref="B1:I1" xr:uid="{00000000-0002-0000-0400-000005000000}"/>
  </dataValidations>
  <hyperlinks>
    <hyperlink ref="J4" r:id="rId2" xr:uid="{00000000-0004-0000-0400-000000000000}"/>
    <hyperlink ref="J5" r:id="rId3" xr:uid="{00000000-0004-0000-0400-000001000000}"/>
  </hyperlinks>
  <pageMargins left="0.23622047244094491" right="0.23622047244094491" top="0.74803149606299213" bottom="0.74803149606299213" header="0.31496062992125984" footer="0.31496062992125984"/>
  <pageSetup paperSize="9" orientation="portrait" r:id="rId4"/>
  <drawing r:id="rId5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60"/>
  <sheetViews>
    <sheetView topLeftCell="A3" workbookViewId="0">
      <selection activeCell="C22" sqref="C22:I22"/>
    </sheetView>
  </sheetViews>
  <sheetFormatPr baseColWidth="10" defaultColWidth="2.7109375" defaultRowHeight="10.5"/>
  <cols>
    <col min="1" max="1" width="1.28515625" style="5" customWidth="1"/>
    <col min="2" max="2" width="16" style="5" customWidth="1"/>
    <col min="3" max="3" width="14.5703125" style="5" customWidth="1"/>
    <col min="4" max="4" width="9.140625" style="5" customWidth="1"/>
    <col min="5" max="5" width="8.42578125" style="5" customWidth="1"/>
    <col min="6" max="6" width="1.28515625" style="5" customWidth="1"/>
    <col min="7" max="7" width="8.28515625" style="5" customWidth="1"/>
    <col min="8" max="8" width="1.42578125" style="5" customWidth="1"/>
    <col min="9" max="9" width="3.7109375" style="5" customWidth="1"/>
    <col min="10" max="10" width="15.28515625" style="78" customWidth="1"/>
    <col min="11" max="11" width="16.7109375" style="5" customWidth="1"/>
    <col min="12" max="12" width="1.140625" style="5" customWidth="1"/>
    <col min="13" max="13" width="1.28515625" style="5" customWidth="1"/>
    <col min="14" max="16384" width="2.7109375" style="5"/>
  </cols>
  <sheetData>
    <row r="1" spans="1:13" ht="12.75" thickBot="1">
      <c r="A1" s="19"/>
      <c r="B1" s="20"/>
      <c r="C1" s="20"/>
      <c r="D1" s="21"/>
      <c r="E1" s="21"/>
      <c r="F1" s="21"/>
      <c r="G1" s="21"/>
      <c r="H1" s="21"/>
      <c r="I1" s="21"/>
      <c r="J1" s="22"/>
      <c r="K1" s="23"/>
      <c r="L1" s="24"/>
      <c r="M1" s="24"/>
    </row>
    <row r="2" spans="1:13" ht="12">
      <c r="A2" s="4"/>
      <c r="B2" s="25"/>
      <c r="C2" s="26"/>
      <c r="D2" s="27"/>
      <c r="E2" s="27"/>
      <c r="F2" s="27"/>
      <c r="G2" s="349" t="s">
        <v>0</v>
      </c>
      <c r="H2" s="350"/>
      <c r="I2" s="350"/>
      <c r="J2" s="28" t="s">
        <v>1</v>
      </c>
      <c r="K2" s="29"/>
      <c r="L2" s="30"/>
      <c r="M2" s="30"/>
    </row>
    <row r="3" spans="1:13" ht="12">
      <c r="A3" s="4"/>
      <c r="B3" s="25"/>
      <c r="C3" s="31"/>
      <c r="D3" s="32"/>
      <c r="E3" s="32"/>
      <c r="F3" s="32"/>
      <c r="G3" s="351" t="s">
        <v>2</v>
      </c>
      <c r="H3" s="352"/>
      <c r="I3" s="352"/>
      <c r="J3" s="18" t="s">
        <v>3</v>
      </c>
      <c r="K3" s="18" t="s">
        <v>4</v>
      </c>
      <c r="L3" s="222"/>
      <c r="M3" s="222"/>
    </row>
    <row r="4" spans="1:13" ht="14.25" customHeight="1">
      <c r="A4" s="34"/>
      <c r="B4" s="398" t="s">
        <v>5</v>
      </c>
      <c r="C4" s="398"/>
      <c r="D4" s="398"/>
      <c r="E4" s="398"/>
      <c r="F4" s="399"/>
      <c r="G4" s="351" t="s">
        <v>6</v>
      </c>
      <c r="H4" s="352"/>
      <c r="I4" s="352"/>
      <c r="J4" s="359" t="s">
        <v>7</v>
      </c>
      <c r="K4" s="359"/>
      <c r="L4" s="14"/>
      <c r="M4" s="14"/>
    </row>
    <row r="5" spans="1:13" ht="12.75" thickBot="1">
      <c r="A5" s="4"/>
      <c r="B5" s="400"/>
      <c r="C5" s="400"/>
      <c r="D5" s="400"/>
      <c r="E5" s="400"/>
      <c r="F5" s="401"/>
      <c r="G5" s="351" t="s">
        <v>8</v>
      </c>
      <c r="H5" s="352"/>
      <c r="I5" s="352"/>
      <c r="J5" s="359" t="s">
        <v>9</v>
      </c>
      <c r="K5" s="359"/>
      <c r="L5" s="14"/>
      <c r="M5" s="14"/>
    </row>
    <row r="6" spans="1:13" ht="12.75" thickBot="1">
      <c r="A6" s="4"/>
      <c r="B6" s="35"/>
      <c r="C6" s="35"/>
      <c r="D6" s="35"/>
      <c r="E6" s="35"/>
      <c r="F6" s="35"/>
      <c r="G6" s="361"/>
      <c r="H6" s="361"/>
      <c r="I6" s="361"/>
      <c r="J6" s="36"/>
      <c r="K6" s="35"/>
      <c r="L6" s="14"/>
      <c r="M6" s="14"/>
    </row>
    <row r="7" spans="1:13" ht="12.75" thickBot="1">
      <c r="A7" s="4"/>
      <c r="B7" s="37" t="s">
        <v>10</v>
      </c>
      <c r="C7" s="38"/>
      <c r="D7" s="39"/>
      <c r="E7" s="39"/>
      <c r="F7" s="40"/>
      <c r="G7" s="41"/>
      <c r="H7" s="39"/>
      <c r="I7" s="41"/>
      <c r="J7" s="42"/>
      <c r="K7" s="39"/>
      <c r="L7" s="105"/>
      <c r="M7" s="14"/>
    </row>
    <row r="8" spans="1:13" ht="12">
      <c r="A8" s="10"/>
      <c r="B8" s="39"/>
      <c r="C8" s="35"/>
      <c r="D8" s="35"/>
      <c r="E8" s="35"/>
      <c r="F8" s="11"/>
      <c r="G8" s="35"/>
      <c r="H8" s="35"/>
      <c r="I8" s="35"/>
      <c r="J8" s="26"/>
      <c r="K8" s="35"/>
      <c r="L8" s="14"/>
      <c r="M8" s="14"/>
    </row>
    <row r="9" spans="1:13" ht="12">
      <c r="A9" s="10"/>
      <c r="B9" s="148" t="s">
        <v>11</v>
      </c>
      <c r="C9" s="355" t="s">
        <v>66</v>
      </c>
      <c r="D9" s="355"/>
      <c r="E9" s="355"/>
      <c r="F9" s="11"/>
      <c r="G9" s="354" t="s">
        <v>12</v>
      </c>
      <c r="H9" s="352"/>
      <c r="I9" s="352"/>
      <c r="J9" s="394">
        <v>43199</v>
      </c>
      <c r="K9" s="394"/>
      <c r="L9" s="79"/>
      <c r="M9" s="14"/>
    </row>
    <row r="10" spans="1:13" ht="25.5" customHeight="1">
      <c r="A10" s="10"/>
      <c r="B10" s="148" t="s">
        <v>13</v>
      </c>
      <c r="C10" s="395" t="s">
        <v>67</v>
      </c>
      <c r="D10" s="395"/>
      <c r="E10" s="395"/>
      <c r="F10" s="11"/>
      <c r="G10" s="354" t="s">
        <v>14</v>
      </c>
      <c r="H10" s="352"/>
      <c r="I10" s="352"/>
      <c r="J10" s="396" t="s">
        <v>115</v>
      </c>
      <c r="K10" s="396"/>
      <c r="L10" s="397"/>
      <c r="M10" s="14"/>
    </row>
    <row r="11" spans="1:13" ht="12">
      <c r="A11" s="10"/>
      <c r="B11" s="148" t="s">
        <v>15</v>
      </c>
      <c r="C11" s="353" t="s">
        <v>16</v>
      </c>
      <c r="D11" s="353"/>
      <c r="E11" s="353"/>
      <c r="F11" s="11"/>
      <c r="G11" s="354" t="s">
        <v>17</v>
      </c>
      <c r="H11" s="352"/>
      <c r="I11" s="352"/>
      <c r="J11" s="392">
        <v>1</v>
      </c>
      <c r="K11" s="392"/>
      <c r="L11" s="79"/>
      <c r="M11" s="14"/>
    </row>
    <row r="12" spans="1:13" ht="12">
      <c r="A12" s="10"/>
      <c r="B12" s="148"/>
      <c r="C12" s="353"/>
      <c r="D12" s="353"/>
      <c r="E12" s="353"/>
      <c r="F12" s="11"/>
      <c r="G12" s="354" t="s">
        <v>18</v>
      </c>
      <c r="H12" s="352"/>
      <c r="I12" s="352"/>
      <c r="J12" s="392">
        <v>1</v>
      </c>
      <c r="K12" s="392"/>
      <c r="L12" s="79"/>
      <c r="M12" s="14"/>
    </row>
    <row r="13" spans="1:13" ht="12">
      <c r="A13" s="10"/>
      <c r="B13" s="148" t="s">
        <v>19</v>
      </c>
      <c r="C13" s="353" t="s">
        <v>77</v>
      </c>
      <c r="D13" s="353"/>
      <c r="E13" s="353"/>
      <c r="F13" s="11"/>
      <c r="G13" s="354" t="s">
        <v>20</v>
      </c>
      <c r="H13" s="352"/>
      <c r="I13" s="352"/>
      <c r="J13" s="392" t="s">
        <v>114</v>
      </c>
      <c r="K13" s="392"/>
      <c r="L13" s="79"/>
      <c r="M13" s="14"/>
    </row>
    <row r="14" spans="1:13" ht="12">
      <c r="A14" s="10"/>
      <c r="B14" s="146"/>
      <c r="C14" s="367"/>
      <c r="D14" s="367"/>
      <c r="E14" s="367"/>
      <c r="F14" s="11"/>
      <c r="G14" s="368"/>
      <c r="H14" s="369"/>
      <c r="I14" s="369"/>
      <c r="J14" s="80"/>
      <c r="K14" s="81"/>
      <c r="L14" s="82"/>
      <c r="M14" s="14"/>
    </row>
    <row r="15" spans="1:13" ht="12">
      <c r="A15" s="10"/>
      <c r="B15" s="147" t="s">
        <v>137</v>
      </c>
      <c r="C15" s="370" t="s">
        <v>138</v>
      </c>
      <c r="D15" s="371"/>
      <c r="E15" s="371"/>
      <c r="F15" s="371"/>
      <c r="G15" s="371"/>
      <c r="H15" s="371"/>
      <c r="I15" s="372"/>
      <c r="J15" s="17"/>
      <c r="K15" s="370"/>
      <c r="L15" s="372"/>
      <c r="M15" s="14"/>
    </row>
    <row r="16" spans="1:13" ht="12">
      <c r="A16" s="4"/>
      <c r="B16" s="43"/>
      <c r="C16" s="44"/>
      <c r="D16" s="44"/>
      <c r="E16" s="44"/>
      <c r="F16" s="44"/>
      <c r="G16" s="44"/>
      <c r="H16" s="44"/>
      <c r="I16" s="44"/>
      <c r="J16" s="148"/>
      <c r="K16" s="45"/>
      <c r="L16" s="46"/>
      <c r="M16" s="14"/>
    </row>
    <row r="17" spans="1:58" ht="12">
      <c r="A17" s="4"/>
      <c r="B17" s="373" t="s">
        <v>139</v>
      </c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14"/>
    </row>
    <row r="18" spans="1:58" ht="12">
      <c r="A18" s="4"/>
      <c r="B18" s="118"/>
      <c r="C18" s="117"/>
      <c r="D18" s="117"/>
      <c r="E18" s="117"/>
      <c r="F18" s="117"/>
      <c r="G18" s="117"/>
      <c r="H18" s="117"/>
      <c r="I18" s="117"/>
      <c r="J18" s="117"/>
      <c r="K18" s="117"/>
      <c r="L18" s="119"/>
      <c r="M18" s="14"/>
    </row>
    <row r="19" spans="1:58" ht="12">
      <c r="A19" s="4"/>
      <c r="B19" s="83"/>
      <c r="C19" s="393"/>
      <c r="D19" s="393"/>
      <c r="E19" s="393"/>
      <c r="F19" s="393"/>
      <c r="G19" s="393"/>
      <c r="H19" s="393"/>
      <c r="I19" s="393"/>
      <c r="J19" s="47"/>
      <c r="K19" s="374"/>
      <c r="L19" s="375"/>
      <c r="M19" s="14"/>
    </row>
    <row r="20" spans="1:58" ht="21.75" customHeight="1">
      <c r="A20" s="4"/>
      <c r="B20" s="52">
        <v>1</v>
      </c>
      <c r="C20" s="379" t="s">
        <v>116</v>
      </c>
      <c r="D20" s="379"/>
      <c r="E20" s="379"/>
      <c r="F20" s="379"/>
      <c r="G20" s="379"/>
      <c r="H20" s="379"/>
      <c r="I20" s="379"/>
      <c r="J20" s="84"/>
      <c r="K20" s="411"/>
      <c r="L20" s="412"/>
      <c r="M20" s="14"/>
    </row>
    <row r="21" spans="1:58" s="238" customFormat="1" ht="24.95" customHeight="1">
      <c r="A21" s="4"/>
      <c r="B21" s="52">
        <v>2</v>
      </c>
      <c r="C21" s="385" t="s">
        <v>118</v>
      </c>
      <c r="D21" s="386"/>
      <c r="E21" s="386"/>
      <c r="F21" s="386"/>
      <c r="G21" s="386"/>
      <c r="H21" s="386"/>
      <c r="I21" s="387"/>
      <c r="J21" s="84"/>
      <c r="K21" s="411"/>
      <c r="L21" s="412"/>
      <c r="M21" s="1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</row>
    <row r="22" spans="1:58" ht="24.95" customHeight="1">
      <c r="A22" s="4"/>
      <c r="B22" s="52">
        <v>1</v>
      </c>
      <c r="C22" s="385" t="s">
        <v>117</v>
      </c>
      <c r="D22" s="386"/>
      <c r="E22" s="386"/>
      <c r="F22" s="386"/>
      <c r="G22" s="386"/>
      <c r="H22" s="386"/>
      <c r="I22" s="387"/>
      <c r="J22" s="84"/>
      <c r="K22" s="250"/>
      <c r="L22" s="251"/>
      <c r="M22" s="14"/>
    </row>
    <row r="23" spans="1:58" ht="24.95" customHeight="1">
      <c r="A23" s="4"/>
      <c r="B23" s="52">
        <v>1</v>
      </c>
      <c r="C23" s="385" t="s">
        <v>119</v>
      </c>
      <c r="D23" s="386"/>
      <c r="E23" s="386"/>
      <c r="F23" s="386"/>
      <c r="G23" s="386"/>
      <c r="H23" s="386"/>
      <c r="I23" s="387"/>
      <c r="J23" s="84"/>
      <c r="K23" s="250"/>
      <c r="L23" s="251"/>
      <c r="M23" s="14"/>
    </row>
    <row r="24" spans="1:58" s="211" customFormat="1" ht="24.95" customHeight="1">
      <c r="A24" s="4"/>
      <c r="B24" s="52">
        <v>1</v>
      </c>
      <c r="C24" s="385" t="s">
        <v>120</v>
      </c>
      <c r="D24" s="386"/>
      <c r="E24" s="386"/>
      <c r="F24" s="386"/>
      <c r="G24" s="386"/>
      <c r="H24" s="386"/>
      <c r="I24" s="387"/>
      <c r="J24" s="84"/>
      <c r="K24" s="250"/>
      <c r="L24" s="251"/>
      <c r="M24" s="14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</row>
    <row r="25" spans="1:58" ht="24.95" customHeight="1">
      <c r="A25" s="10"/>
      <c r="B25" s="214">
        <v>4</v>
      </c>
      <c r="C25" s="379" t="s">
        <v>121</v>
      </c>
      <c r="D25" s="379"/>
      <c r="E25" s="379"/>
      <c r="F25" s="379"/>
      <c r="G25" s="379"/>
      <c r="H25" s="379"/>
      <c r="I25" s="379"/>
      <c r="J25" s="84"/>
      <c r="K25" s="411"/>
      <c r="L25" s="412"/>
      <c r="M25" s="10"/>
    </row>
    <row r="26" spans="1:58" ht="24.95" customHeight="1">
      <c r="A26" s="4"/>
      <c r="B26" s="52">
        <v>6</v>
      </c>
      <c r="C26" s="385" t="s">
        <v>122</v>
      </c>
      <c r="D26" s="386"/>
      <c r="E26" s="386"/>
      <c r="F26" s="386"/>
      <c r="G26" s="386"/>
      <c r="H26" s="386"/>
      <c r="I26" s="387"/>
      <c r="J26" s="84"/>
      <c r="K26" s="250"/>
      <c r="L26" s="251"/>
      <c r="M26" s="14"/>
    </row>
    <row r="27" spans="1:58" ht="24.95" customHeight="1">
      <c r="A27" s="4"/>
      <c r="B27" s="52">
        <v>4</v>
      </c>
      <c r="C27" s="385" t="s">
        <v>123</v>
      </c>
      <c r="D27" s="386"/>
      <c r="E27" s="386"/>
      <c r="F27" s="386"/>
      <c r="G27" s="386"/>
      <c r="H27" s="386"/>
      <c r="I27" s="387"/>
      <c r="J27" s="84"/>
      <c r="K27" s="250"/>
      <c r="L27" s="251"/>
      <c r="M27" s="14"/>
    </row>
    <row r="28" spans="1:58" s="12" customFormat="1" ht="24.95" customHeight="1">
      <c r="A28" s="10"/>
      <c r="B28" s="52">
        <v>1</v>
      </c>
      <c r="C28" s="385" t="s">
        <v>124</v>
      </c>
      <c r="D28" s="386"/>
      <c r="E28" s="386"/>
      <c r="F28" s="386"/>
      <c r="G28" s="386"/>
      <c r="H28" s="386"/>
      <c r="I28" s="387"/>
      <c r="J28" s="84"/>
      <c r="K28" s="250"/>
      <c r="L28" s="251"/>
      <c r="M28" s="14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</row>
    <row r="29" spans="1:58" ht="24.95" customHeight="1">
      <c r="A29" s="4"/>
      <c r="B29" s="52">
        <v>1</v>
      </c>
      <c r="C29" s="385" t="s">
        <v>125</v>
      </c>
      <c r="D29" s="386"/>
      <c r="E29" s="386"/>
      <c r="F29" s="386"/>
      <c r="G29" s="386"/>
      <c r="H29" s="386"/>
      <c r="I29" s="387"/>
      <c r="J29" s="84"/>
      <c r="K29" s="250"/>
      <c r="L29" s="251"/>
      <c r="M29" s="14"/>
    </row>
    <row r="30" spans="1:58" ht="24.95" customHeight="1">
      <c r="A30" s="4"/>
      <c r="B30" s="52">
        <v>1</v>
      </c>
      <c r="C30" s="385" t="s">
        <v>126</v>
      </c>
      <c r="D30" s="386"/>
      <c r="E30" s="386"/>
      <c r="F30" s="386"/>
      <c r="G30" s="386"/>
      <c r="H30" s="386"/>
      <c r="I30" s="387"/>
      <c r="J30" s="84"/>
      <c r="K30" s="134"/>
      <c r="L30" s="133"/>
      <c r="M30" s="14"/>
    </row>
    <row r="31" spans="1:58" ht="24.95" customHeight="1">
      <c r="A31" s="4"/>
      <c r="B31" s="52">
        <v>2</v>
      </c>
      <c r="C31" s="489" t="s">
        <v>140</v>
      </c>
      <c r="D31" s="490"/>
      <c r="E31" s="490"/>
      <c r="F31" s="490"/>
      <c r="G31" s="490"/>
      <c r="H31" s="490"/>
      <c r="I31" s="491"/>
      <c r="J31" s="84"/>
      <c r="K31" s="250"/>
      <c r="L31" s="251"/>
      <c r="M31" s="14"/>
      <c r="P31" s="5" t="s">
        <v>142</v>
      </c>
    </row>
    <row r="32" spans="1:58" ht="24.95" customHeight="1">
      <c r="A32" s="4"/>
      <c r="B32" s="52">
        <v>1</v>
      </c>
      <c r="C32" s="385" t="s">
        <v>127</v>
      </c>
      <c r="D32" s="386"/>
      <c r="E32" s="386"/>
      <c r="F32" s="386"/>
      <c r="G32" s="386"/>
      <c r="H32" s="386"/>
      <c r="I32" s="387"/>
      <c r="J32" s="84"/>
      <c r="K32" s="250"/>
      <c r="L32" s="251"/>
      <c r="M32" s="14"/>
    </row>
    <row r="33" spans="1:13" ht="24.95" customHeight="1">
      <c r="A33" s="4"/>
      <c r="B33" s="52">
        <v>1</v>
      </c>
      <c r="C33" s="385" t="s">
        <v>128</v>
      </c>
      <c r="D33" s="386"/>
      <c r="E33" s="386"/>
      <c r="F33" s="386"/>
      <c r="G33" s="386"/>
      <c r="H33" s="386"/>
      <c r="I33" s="387"/>
      <c r="J33" s="84"/>
      <c r="K33" s="250"/>
      <c r="L33" s="251"/>
      <c r="M33" s="10"/>
    </row>
    <row r="34" spans="1:13" ht="24.95" customHeight="1">
      <c r="A34" s="4"/>
      <c r="B34" s="52">
        <v>1</v>
      </c>
      <c r="C34" s="385" t="s">
        <v>129</v>
      </c>
      <c r="D34" s="386"/>
      <c r="E34" s="386"/>
      <c r="F34" s="386"/>
      <c r="G34" s="386"/>
      <c r="H34" s="386"/>
      <c r="I34" s="387"/>
      <c r="J34" s="84"/>
      <c r="K34" s="250"/>
      <c r="L34" s="251"/>
      <c r="M34" s="14"/>
    </row>
    <row r="35" spans="1:13" ht="24.95" customHeight="1">
      <c r="A35" s="4"/>
      <c r="B35" s="52">
        <v>1</v>
      </c>
      <c r="C35" s="385" t="s">
        <v>141</v>
      </c>
      <c r="D35" s="386"/>
      <c r="E35" s="386"/>
      <c r="F35" s="386"/>
      <c r="G35" s="386"/>
      <c r="H35" s="386"/>
      <c r="I35" s="387"/>
      <c r="J35" s="84"/>
      <c r="K35" s="250"/>
      <c r="L35" s="251"/>
      <c r="M35" s="14"/>
    </row>
    <row r="36" spans="1:13" ht="24.95" customHeight="1">
      <c r="A36" s="4"/>
      <c r="B36" s="52"/>
      <c r="C36" s="385"/>
      <c r="D36" s="386"/>
      <c r="E36" s="386"/>
      <c r="F36" s="386"/>
      <c r="G36" s="386"/>
      <c r="H36" s="386"/>
      <c r="I36" s="387"/>
      <c r="J36" s="84"/>
      <c r="K36" s="250"/>
      <c r="L36" s="251"/>
      <c r="M36" s="14"/>
    </row>
    <row r="37" spans="1:13" ht="24.95" customHeight="1">
      <c r="A37" s="4"/>
      <c r="B37" s="52"/>
      <c r="C37" s="385"/>
      <c r="D37" s="386"/>
      <c r="E37" s="386"/>
      <c r="F37" s="386"/>
      <c r="G37" s="386"/>
      <c r="H37" s="386"/>
      <c r="I37" s="387"/>
      <c r="J37" s="84"/>
      <c r="K37" s="250"/>
      <c r="L37" s="251"/>
      <c r="M37" s="14"/>
    </row>
    <row r="38" spans="1:13" ht="24.95" customHeight="1">
      <c r="A38" s="4"/>
      <c r="B38" s="52"/>
      <c r="C38" s="385"/>
      <c r="D38" s="386"/>
      <c r="E38" s="386"/>
      <c r="F38" s="386"/>
      <c r="G38" s="386"/>
      <c r="H38" s="386"/>
      <c r="I38" s="387"/>
      <c r="J38" s="84"/>
      <c r="K38" s="250"/>
      <c r="L38" s="251"/>
      <c r="M38" s="14"/>
    </row>
    <row r="39" spans="1:13" ht="24.95" customHeight="1">
      <c r="A39" s="13"/>
      <c r="B39" s="189"/>
      <c r="C39" s="483"/>
      <c r="D39" s="484"/>
      <c r="E39" s="484"/>
      <c r="F39" s="484"/>
      <c r="G39" s="484"/>
      <c r="H39" s="484"/>
      <c r="I39" s="485"/>
      <c r="J39" s="220"/>
      <c r="K39" s="227"/>
      <c r="L39" s="228"/>
      <c r="M39" s="13"/>
    </row>
    <row r="40" spans="1:13" ht="24.95" customHeight="1">
      <c r="A40" s="4"/>
      <c r="B40" s="86">
        <v>3</v>
      </c>
      <c r="C40" s="486" t="s">
        <v>130</v>
      </c>
      <c r="D40" s="487"/>
      <c r="E40" s="487"/>
      <c r="F40" s="487"/>
      <c r="G40" s="487"/>
      <c r="H40" s="487"/>
      <c r="I40" s="488"/>
      <c r="J40" s="219"/>
      <c r="K40" s="444"/>
      <c r="L40" s="445"/>
      <c r="M40" s="10"/>
    </row>
    <row r="41" spans="1:13" ht="24.95" customHeight="1">
      <c r="A41" s="4"/>
      <c r="B41" s="52">
        <v>3</v>
      </c>
      <c r="C41" s="385" t="s">
        <v>131</v>
      </c>
      <c r="D41" s="386"/>
      <c r="E41" s="386"/>
      <c r="F41" s="386"/>
      <c r="G41" s="386"/>
      <c r="H41" s="386"/>
      <c r="I41" s="387"/>
      <c r="J41" s="84"/>
      <c r="K41" s="411"/>
      <c r="L41" s="412"/>
      <c r="M41" s="14"/>
    </row>
    <row r="42" spans="1:13" ht="24.95" customHeight="1">
      <c r="A42" s="4"/>
      <c r="B42" s="52">
        <v>1</v>
      </c>
      <c r="C42" s="385" t="s">
        <v>132</v>
      </c>
      <c r="D42" s="386"/>
      <c r="E42" s="386"/>
      <c r="F42" s="386"/>
      <c r="G42" s="386"/>
      <c r="H42" s="386"/>
      <c r="I42" s="387"/>
      <c r="J42" s="84"/>
      <c r="K42" s="411"/>
      <c r="L42" s="412"/>
      <c r="M42" s="51"/>
    </row>
    <row r="43" spans="1:13" ht="24.95" customHeight="1">
      <c r="A43" s="4"/>
      <c r="B43" s="52">
        <v>1</v>
      </c>
      <c r="C43" s="385" t="s">
        <v>133</v>
      </c>
      <c r="D43" s="386"/>
      <c r="E43" s="386"/>
      <c r="F43" s="386"/>
      <c r="G43" s="386"/>
      <c r="H43" s="386"/>
      <c r="I43" s="387"/>
      <c r="J43" s="84"/>
      <c r="K43" s="411"/>
      <c r="L43" s="412"/>
      <c r="M43" s="51"/>
    </row>
    <row r="44" spans="1:13" ht="36.75" customHeight="1">
      <c r="A44" s="4"/>
      <c r="B44" s="52">
        <v>1</v>
      </c>
      <c r="C44" s="482" t="s">
        <v>134</v>
      </c>
      <c r="D44" s="482"/>
      <c r="E44" s="482"/>
      <c r="F44" s="482"/>
      <c r="G44" s="482"/>
      <c r="H44" s="482"/>
      <c r="I44" s="482"/>
      <c r="J44" s="84"/>
      <c r="K44" s="411"/>
      <c r="L44" s="412"/>
      <c r="M44" s="51"/>
    </row>
    <row r="45" spans="1:13" ht="24.95" customHeight="1">
      <c r="A45" s="4"/>
      <c r="B45" s="113"/>
      <c r="C45" s="482"/>
      <c r="D45" s="482"/>
      <c r="E45" s="482"/>
      <c r="F45" s="482"/>
      <c r="G45" s="482"/>
      <c r="H45" s="482"/>
      <c r="I45" s="482"/>
      <c r="J45" s="181"/>
      <c r="K45" s="250"/>
      <c r="L45" s="251"/>
      <c r="M45" s="14"/>
    </row>
    <row r="46" spans="1:13" ht="24.95" customHeight="1">
      <c r="A46" s="4"/>
      <c r="B46" s="50">
        <v>2</v>
      </c>
      <c r="C46" s="482" t="s">
        <v>135</v>
      </c>
      <c r="D46" s="482"/>
      <c r="E46" s="482"/>
      <c r="F46" s="482"/>
      <c r="G46" s="482"/>
      <c r="H46" s="482"/>
      <c r="I46" s="482"/>
      <c r="J46" s="84"/>
      <c r="K46" s="250"/>
      <c r="L46" s="251"/>
      <c r="M46" s="51"/>
    </row>
    <row r="47" spans="1:13" ht="24.95" customHeight="1">
      <c r="A47" s="4"/>
      <c r="B47" s="50">
        <v>2</v>
      </c>
      <c r="C47" s="379" t="s">
        <v>136</v>
      </c>
      <c r="D47" s="379"/>
      <c r="E47" s="379"/>
      <c r="F47" s="379"/>
      <c r="G47" s="379"/>
      <c r="H47" s="379"/>
      <c r="I47" s="379"/>
      <c r="J47" s="84"/>
      <c r="K47" s="411"/>
      <c r="L47" s="412"/>
      <c r="M47" s="51"/>
    </row>
    <row r="48" spans="1:13" ht="24.95" customHeight="1">
      <c r="A48" s="4"/>
      <c r="B48" s="50"/>
      <c r="C48" s="379"/>
      <c r="D48" s="379"/>
      <c r="E48" s="379"/>
      <c r="F48" s="379"/>
      <c r="G48" s="379"/>
      <c r="H48" s="379"/>
      <c r="I48" s="379"/>
      <c r="J48" s="84"/>
      <c r="K48" s="411"/>
      <c r="L48" s="412"/>
      <c r="M48" s="51"/>
    </row>
    <row r="49" spans="1:13" ht="24.95" customHeight="1">
      <c r="A49" s="4"/>
      <c r="B49" s="50"/>
      <c r="C49" s="379"/>
      <c r="D49" s="379"/>
      <c r="E49" s="379"/>
      <c r="F49" s="379"/>
      <c r="G49" s="379"/>
      <c r="H49" s="379"/>
      <c r="I49" s="379"/>
      <c r="J49" s="2"/>
      <c r="K49" s="480"/>
      <c r="L49" s="481"/>
      <c r="M49" s="51"/>
    </row>
    <row r="50" spans="1:13" ht="24.95" customHeight="1">
      <c r="A50" s="4"/>
      <c r="B50" s="50"/>
      <c r="C50" s="379"/>
      <c r="D50" s="379"/>
      <c r="E50" s="379"/>
      <c r="F50" s="379"/>
      <c r="G50" s="379"/>
      <c r="H50" s="379"/>
      <c r="I50" s="379"/>
      <c r="J50" s="2"/>
      <c r="K50" s="480"/>
      <c r="L50" s="481"/>
      <c r="M50" s="51"/>
    </row>
    <row r="51" spans="1:13" ht="24.95" customHeight="1">
      <c r="A51" s="4"/>
      <c r="B51" s="50"/>
      <c r="C51" s="379"/>
      <c r="D51" s="379"/>
      <c r="E51" s="379"/>
      <c r="F51" s="379"/>
      <c r="G51" s="379"/>
      <c r="H51" s="379"/>
      <c r="I51" s="379"/>
      <c r="J51" s="2"/>
      <c r="K51" s="480"/>
      <c r="L51" s="481"/>
      <c r="M51" s="51"/>
    </row>
    <row r="52" spans="1:13" ht="24.95" customHeight="1">
      <c r="A52" s="4"/>
      <c r="B52" s="50"/>
      <c r="C52" s="379"/>
      <c r="D52" s="379"/>
      <c r="E52" s="379"/>
      <c r="F52" s="379"/>
      <c r="G52" s="379"/>
      <c r="H52" s="379"/>
      <c r="I52" s="379"/>
      <c r="J52" s="2"/>
      <c r="K52" s="480"/>
      <c r="L52" s="481"/>
      <c r="M52" s="51"/>
    </row>
    <row r="53" spans="1:13" ht="24.95" customHeight="1">
      <c r="A53" s="4"/>
      <c r="B53" s="50"/>
      <c r="C53" s="379"/>
      <c r="D53" s="379"/>
      <c r="E53" s="379"/>
      <c r="F53" s="379"/>
      <c r="G53" s="379"/>
      <c r="H53" s="379"/>
      <c r="I53" s="379"/>
      <c r="J53" s="2"/>
      <c r="K53" s="480"/>
      <c r="L53" s="481"/>
      <c r="M53" s="51"/>
    </row>
    <row r="54" spans="1:13" ht="24.95" customHeight="1">
      <c r="A54" s="4"/>
      <c r="B54" s="50"/>
      <c r="C54" s="379"/>
      <c r="D54" s="379"/>
      <c r="E54" s="379"/>
      <c r="F54" s="379"/>
      <c r="G54" s="379"/>
      <c r="H54" s="379"/>
      <c r="I54" s="379"/>
      <c r="J54" s="2"/>
      <c r="K54" s="480"/>
      <c r="L54" s="481"/>
      <c r="M54" s="51"/>
    </row>
    <row r="55" spans="1:13" ht="24.95" customHeight="1">
      <c r="A55" s="4"/>
      <c r="B55" s="50"/>
      <c r="C55" s="379"/>
      <c r="D55" s="379"/>
      <c r="E55" s="379"/>
      <c r="F55" s="379"/>
      <c r="G55" s="379"/>
      <c r="H55" s="379"/>
      <c r="I55" s="379"/>
      <c r="J55" s="102"/>
      <c r="K55" s="433"/>
      <c r="L55" s="434"/>
      <c r="M55" s="51"/>
    </row>
    <row r="56" spans="1:13" ht="24.95" customHeight="1">
      <c r="A56" s="4"/>
      <c r="B56" s="50"/>
      <c r="C56" s="379"/>
      <c r="D56" s="379"/>
      <c r="E56" s="379"/>
      <c r="F56" s="379"/>
      <c r="G56" s="379"/>
      <c r="H56" s="379"/>
      <c r="I56" s="379"/>
      <c r="J56" s="2"/>
      <c r="K56" s="480"/>
      <c r="L56" s="481"/>
      <c r="M56" s="51"/>
    </row>
    <row r="57" spans="1:13" ht="24.95" customHeight="1">
      <c r="A57" s="4"/>
      <c r="B57" s="50"/>
      <c r="C57" s="379"/>
      <c r="D57" s="379"/>
      <c r="E57" s="379"/>
      <c r="F57" s="379"/>
      <c r="G57" s="379"/>
      <c r="H57" s="379"/>
      <c r="I57" s="379"/>
      <c r="J57" s="2"/>
      <c r="K57" s="480"/>
      <c r="L57" s="481"/>
      <c r="M57" s="51"/>
    </row>
    <row r="58" spans="1:13" ht="24.95" customHeight="1">
      <c r="A58" s="4"/>
      <c r="B58" s="50"/>
      <c r="C58" s="155"/>
      <c r="D58" s="156"/>
      <c r="E58" s="156"/>
      <c r="F58" s="156"/>
      <c r="G58" s="156"/>
      <c r="H58" s="156"/>
      <c r="I58" s="157"/>
      <c r="J58" s="2"/>
      <c r="K58" s="134"/>
      <c r="L58" s="133"/>
      <c r="M58" s="51"/>
    </row>
    <row r="59" spans="1:13" ht="27.75" customHeight="1">
      <c r="A59" s="4"/>
      <c r="B59" s="50"/>
      <c r="C59" s="155"/>
      <c r="D59" s="156"/>
      <c r="E59" s="156"/>
      <c r="F59" s="156"/>
      <c r="G59" s="156"/>
      <c r="H59" s="156"/>
      <c r="I59" s="157"/>
      <c r="J59" s="102"/>
      <c r="K59" s="433"/>
      <c r="L59" s="434"/>
      <c r="M59" s="51"/>
    </row>
    <row r="60" spans="1:13" ht="24.75" customHeight="1">
      <c r="A60" s="15"/>
      <c r="B60" s="136"/>
      <c r="C60" s="435"/>
      <c r="D60" s="435"/>
      <c r="E60" s="435"/>
      <c r="F60" s="435"/>
      <c r="G60" s="435"/>
      <c r="H60" s="435"/>
      <c r="I60" s="435"/>
      <c r="J60" s="135"/>
      <c r="K60" s="436"/>
      <c r="L60" s="437"/>
      <c r="M60" s="137"/>
    </row>
  </sheetData>
  <mergeCells count="90">
    <mergeCell ref="G2:I2"/>
    <mergeCell ref="G3:I3"/>
    <mergeCell ref="B4:F5"/>
    <mergeCell ref="G4:I4"/>
    <mergeCell ref="J4:K4"/>
    <mergeCell ref="G5:I5"/>
    <mergeCell ref="J5:K5"/>
    <mergeCell ref="G6:I6"/>
    <mergeCell ref="C9:E9"/>
    <mergeCell ref="G9:I9"/>
    <mergeCell ref="J9:K9"/>
    <mergeCell ref="C10:E10"/>
    <mergeCell ref="G10:I10"/>
    <mergeCell ref="J10:L10"/>
    <mergeCell ref="C15:I15"/>
    <mergeCell ref="K15:L15"/>
    <mergeCell ref="C11:E11"/>
    <mergeCell ref="G11:I11"/>
    <mergeCell ref="J11:K11"/>
    <mergeCell ref="C12:E12"/>
    <mergeCell ref="G12:I12"/>
    <mergeCell ref="J12:K12"/>
    <mergeCell ref="C13:E13"/>
    <mergeCell ref="G13:I13"/>
    <mergeCell ref="J13:K13"/>
    <mergeCell ref="C14:E14"/>
    <mergeCell ref="G14:I14"/>
    <mergeCell ref="C26:I26"/>
    <mergeCell ref="B17:L17"/>
    <mergeCell ref="C19:I19"/>
    <mergeCell ref="K19:L19"/>
    <mergeCell ref="C20:I20"/>
    <mergeCell ref="K20:L20"/>
    <mergeCell ref="C21:I21"/>
    <mergeCell ref="K21:L21"/>
    <mergeCell ref="C22:I22"/>
    <mergeCell ref="C23:I23"/>
    <mergeCell ref="C24:I24"/>
    <mergeCell ref="C25:I25"/>
    <mergeCell ref="K25:L25"/>
    <mergeCell ref="C38:I38"/>
    <mergeCell ref="C27:I27"/>
    <mergeCell ref="C28:I28"/>
    <mergeCell ref="C29:I29"/>
    <mergeCell ref="C30:I30"/>
    <mergeCell ref="C31:I31"/>
    <mergeCell ref="C32:I32"/>
    <mergeCell ref="C33:I33"/>
    <mergeCell ref="C34:I34"/>
    <mergeCell ref="C35:I35"/>
    <mergeCell ref="C36:I36"/>
    <mergeCell ref="C37:I37"/>
    <mergeCell ref="C46:I46"/>
    <mergeCell ref="C39:I39"/>
    <mergeCell ref="C40:I40"/>
    <mergeCell ref="K40:L40"/>
    <mergeCell ref="C41:I41"/>
    <mergeCell ref="K41:L41"/>
    <mergeCell ref="C42:I42"/>
    <mergeCell ref="K42:L42"/>
    <mergeCell ref="C43:I43"/>
    <mergeCell ref="K43:L43"/>
    <mergeCell ref="C44:I44"/>
    <mergeCell ref="K44:L44"/>
    <mergeCell ref="C45:I45"/>
    <mergeCell ref="C47:I47"/>
    <mergeCell ref="K47:L47"/>
    <mergeCell ref="C48:I48"/>
    <mergeCell ref="K48:L48"/>
    <mergeCell ref="C49:I49"/>
    <mergeCell ref="K49:L49"/>
    <mergeCell ref="C50:I50"/>
    <mergeCell ref="K50:L50"/>
    <mergeCell ref="C51:I51"/>
    <mergeCell ref="K51:L51"/>
    <mergeCell ref="C52:I52"/>
    <mergeCell ref="K52:L52"/>
    <mergeCell ref="C60:I60"/>
    <mergeCell ref="K60:L60"/>
    <mergeCell ref="C53:I53"/>
    <mergeCell ref="K53:L53"/>
    <mergeCell ref="C54:I54"/>
    <mergeCell ref="K54:L54"/>
    <mergeCell ref="C55:I55"/>
    <mergeCell ref="K55:L55"/>
    <mergeCell ref="C56:I56"/>
    <mergeCell ref="K56:L56"/>
    <mergeCell ref="C57:I57"/>
    <mergeCell ref="K57:L57"/>
    <mergeCell ref="K59:L59"/>
  </mergeCells>
  <dataValidations count="4">
    <dataValidation errorStyle="warning" allowBlank="1" showInputMessage="1" errorTitle="Estado" promptTitle="Estado" prompt="Escriba la abreviatura del estado en esta celda." sqref="E11" xr:uid="{00000000-0002-0000-0500-000000000000}"/>
    <dataValidation allowBlank="1" showInputMessage="1" showErrorMessage="1" promptTitle="Información de la organización" prompt="Para escribir varias líneas en una celda, use Alt+Entrar.  También puede personalizar esta plantilla y guardarla como una nueva para su uso posterior. Para más información sobre cómo crear plantillas personalizadas, vea los temas de ayuda." sqref="B1:I1" xr:uid="{00000000-0002-0000-0500-000001000000}"/>
    <dataValidation type="whole" errorStyle="warning" allowBlank="1" showErrorMessage="1" errorTitle="Cantidad" error="Debe escribir un número en esta celda." promptTitle="Cantidad" sqref="B28:B39 B46:B60 B19:B25 B41" xr:uid="{00000000-0002-0000-0500-000002000000}">
      <formula1>0</formula1>
      <formula2>1000000000</formula2>
    </dataValidation>
    <dataValidation type="decimal" allowBlank="1" showErrorMessage="1" errorTitle="Precio unitario" error="Debe escribir un número en esta celda." promptTitle="Precio unitario" sqref="J19:J48" xr:uid="{00000000-0002-0000-0500-000003000000}">
      <formula1>0</formula1>
      <formula2>1000000000</formula2>
    </dataValidation>
  </dataValidations>
  <hyperlinks>
    <hyperlink ref="J4" r:id="rId1" xr:uid="{00000000-0004-0000-0500-000000000000}"/>
    <hyperlink ref="J5" r:id="rId2" xr:uid="{00000000-0004-0000-0500-000001000000}"/>
  </hyperlinks>
  <pageMargins left="0.23622047244094491" right="0.23622047244094491" top="0.74803149606299213" bottom="0.74803149606299213" header="0.31496062992125984" footer="0.31496062992125984"/>
  <pageSetup paperSize="9" orientation="portrait" r:id="rId3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9"/>
  <sheetViews>
    <sheetView topLeftCell="A16" workbookViewId="0">
      <selection activeCell="J20" sqref="J20"/>
    </sheetView>
  </sheetViews>
  <sheetFormatPr baseColWidth="10" defaultColWidth="2.7109375" defaultRowHeight="10.5"/>
  <cols>
    <col min="1" max="1" width="1.28515625" style="5" customWidth="1"/>
    <col min="2" max="2" width="16" style="5" customWidth="1"/>
    <col min="3" max="3" width="14.5703125" style="5" customWidth="1"/>
    <col min="4" max="4" width="9.140625" style="5" customWidth="1"/>
    <col min="5" max="5" width="8.42578125" style="5" customWidth="1"/>
    <col min="6" max="6" width="1.28515625" style="5" customWidth="1"/>
    <col min="7" max="7" width="8.28515625" style="5" customWidth="1"/>
    <col min="8" max="8" width="1.42578125" style="5" customWidth="1"/>
    <col min="9" max="9" width="3.7109375" style="5" customWidth="1"/>
    <col min="10" max="10" width="15.28515625" style="78" customWidth="1"/>
    <col min="11" max="11" width="16.7109375" style="5" customWidth="1"/>
    <col min="12" max="12" width="1.140625" style="5" customWidth="1"/>
    <col min="13" max="13" width="1.28515625" style="5" customWidth="1"/>
    <col min="14" max="14" width="19.85546875" style="158" customWidth="1"/>
    <col min="15" max="17" width="23.5703125" style="158" customWidth="1"/>
    <col min="18" max="18" width="21.42578125" style="163" customWidth="1"/>
    <col min="19" max="19" width="16" style="169" customWidth="1"/>
    <col min="20" max="20" width="6.5703125" style="5" bestFit="1" customWidth="1"/>
    <col min="21" max="28" width="2.7109375" style="5"/>
    <col min="29" max="29" width="6" style="5" bestFit="1" customWidth="1"/>
    <col min="30" max="16384" width="2.7109375" style="5"/>
  </cols>
  <sheetData>
    <row r="1" spans="1:19" ht="12.75" thickBot="1">
      <c r="A1" s="19"/>
      <c r="B1" s="20"/>
      <c r="C1" s="20"/>
      <c r="D1" s="21"/>
      <c r="E1" s="21"/>
      <c r="F1" s="21"/>
      <c r="G1" s="21"/>
      <c r="H1" s="21"/>
      <c r="I1" s="21"/>
      <c r="J1" s="22"/>
      <c r="K1" s="23"/>
      <c r="L1" s="24"/>
      <c r="M1" s="24"/>
    </row>
    <row r="2" spans="1:19" ht="12">
      <c r="A2" s="4"/>
      <c r="B2" s="25"/>
      <c r="C2" s="26"/>
      <c r="D2" s="27"/>
      <c r="E2" s="27"/>
      <c r="F2" s="27"/>
      <c r="G2" s="349" t="s">
        <v>0</v>
      </c>
      <c r="H2" s="350"/>
      <c r="I2" s="350"/>
      <c r="J2" s="28" t="s">
        <v>1</v>
      </c>
      <c r="K2" s="29"/>
      <c r="L2" s="30"/>
      <c r="M2" s="30"/>
    </row>
    <row r="3" spans="1:19" ht="12">
      <c r="A3" s="4"/>
      <c r="B3" s="25"/>
      <c r="C3" s="31"/>
      <c r="D3" s="32"/>
      <c r="E3" s="32"/>
      <c r="F3" s="32"/>
      <c r="G3" s="351" t="s">
        <v>2</v>
      </c>
      <c r="H3" s="352"/>
      <c r="I3" s="352"/>
      <c r="J3" s="18" t="s">
        <v>3</v>
      </c>
      <c r="K3" s="18" t="s">
        <v>4</v>
      </c>
      <c r="L3" s="222"/>
      <c r="M3" s="222"/>
    </row>
    <row r="4" spans="1:19" ht="14.25" customHeight="1">
      <c r="A4" s="34"/>
      <c r="B4" s="398" t="s">
        <v>5</v>
      </c>
      <c r="C4" s="398"/>
      <c r="D4" s="398"/>
      <c r="E4" s="398"/>
      <c r="F4" s="399"/>
      <c r="G4" s="351" t="s">
        <v>6</v>
      </c>
      <c r="H4" s="352"/>
      <c r="I4" s="352"/>
      <c r="J4" s="359" t="s">
        <v>7</v>
      </c>
      <c r="K4" s="359"/>
      <c r="L4" s="14"/>
      <c r="M4" s="14"/>
    </row>
    <row r="5" spans="1:19" ht="12.75" thickBot="1">
      <c r="A5" s="4"/>
      <c r="B5" s="400"/>
      <c r="C5" s="400"/>
      <c r="D5" s="400"/>
      <c r="E5" s="400"/>
      <c r="F5" s="401"/>
      <c r="G5" s="351" t="s">
        <v>8</v>
      </c>
      <c r="H5" s="352"/>
      <c r="I5" s="352"/>
      <c r="J5" s="359" t="s">
        <v>9</v>
      </c>
      <c r="K5" s="359"/>
      <c r="L5" s="14"/>
      <c r="M5" s="14"/>
    </row>
    <row r="6" spans="1:19" ht="12.75" thickBot="1">
      <c r="A6" s="4"/>
      <c r="B6" s="35"/>
      <c r="C6" s="35"/>
      <c r="D6" s="35"/>
      <c r="E6" s="35"/>
      <c r="F6" s="35"/>
      <c r="G6" s="361"/>
      <c r="H6" s="361"/>
      <c r="I6" s="361"/>
      <c r="J6" s="36"/>
      <c r="K6" s="35"/>
      <c r="L6" s="14"/>
      <c r="M6" s="14"/>
    </row>
    <row r="7" spans="1:19" ht="12.75" thickBot="1">
      <c r="A7" s="4"/>
      <c r="B7" s="37" t="s">
        <v>10</v>
      </c>
      <c r="C7" s="38"/>
      <c r="D7" s="39"/>
      <c r="E7" s="39"/>
      <c r="F7" s="40"/>
      <c r="G7" s="41"/>
      <c r="H7" s="39"/>
      <c r="I7" s="41"/>
      <c r="J7" s="42"/>
      <c r="K7" s="39"/>
      <c r="L7" s="105"/>
      <c r="M7" s="14"/>
      <c r="N7" s="163"/>
    </row>
    <row r="8" spans="1:19" ht="12">
      <c r="A8" s="10"/>
      <c r="B8" s="39"/>
      <c r="C8" s="35"/>
      <c r="D8" s="35"/>
      <c r="E8" s="35"/>
      <c r="F8" s="11"/>
      <c r="G8" s="35"/>
      <c r="H8" s="35"/>
      <c r="I8" s="35"/>
      <c r="J8" s="26"/>
      <c r="K8" s="35"/>
      <c r="L8" s="14"/>
      <c r="M8" s="14"/>
      <c r="N8" s="163"/>
    </row>
    <row r="9" spans="1:19" ht="12">
      <c r="A9" s="10"/>
      <c r="B9" s="148" t="s">
        <v>11</v>
      </c>
      <c r="C9" s="355" t="s">
        <v>66</v>
      </c>
      <c r="D9" s="355"/>
      <c r="E9" s="355"/>
      <c r="F9" s="11"/>
      <c r="G9" s="354" t="s">
        <v>12</v>
      </c>
      <c r="H9" s="352"/>
      <c r="I9" s="352"/>
      <c r="J9" s="394">
        <v>43215</v>
      </c>
      <c r="K9" s="394"/>
      <c r="L9" s="79"/>
      <c r="M9" s="14"/>
      <c r="N9" s="163"/>
    </row>
    <row r="10" spans="1:19" ht="25.5" customHeight="1">
      <c r="A10" s="10"/>
      <c r="B10" s="148" t="s">
        <v>13</v>
      </c>
      <c r="C10" s="395" t="s">
        <v>67</v>
      </c>
      <c r="D10" s="395"/>
      <c r="E10" s="395"/>
      <c r="F10" s="11"/>
      <c r="G10" s="354" t="s">
        <v>14</v>
      </c>
      <c r="H10" s="352"/>
      <c r="I10" s="352"/>
      <c r="J10" s="396" t="s">
        <v>203</v>
      </c>
      <c r="K10" s="396"/>
      <c r="L10" s="397"/>
      <c r="M10" s="14"/>
      <c r="N10" s="163"/>
    </row>
    <row r="11" spans="1:19" ht="12">
      <c r="A11" s="10"/>
      <c r="B11" s="148" t="s">
        <v>15</v>
      </c>
      <c r="C11" s="353" t="s">
        <v>16</v>
      </c>
      <c r="D11" s="353"/>
      <c r="E11" s="353"/>
      <c r="F11" s="11"/>
      <c r="G11" s="354" t="s">
        <v>17</v>
      </c>
      <c r="H11" s="352"/>
      <c r="I11" s="352"/>
      <c r="J11" s="392">
        <v>1</v>
      </c>
      <c r="K11" s="392"/>
      <c r="L11" s="79"/>
      <c r="M11" s="14"/>
      <c r="N11" s="163"/>
    </row>
    <row r="12" spans="1:19" ht="12">
      <c r="A12" s="10"/>
      <c r="B12" s="148"/>
      <c r="C12" s="353"/>
      <c r="D12" s="353"/>
      <c r="E12" s="353"/>
      <c r="F12" s="11"/>
      <c r="G12" s="354" t="s">
        <v>18</v>
      </c>
      <c r="H12" s="352"/>
      <c r="I12" s="352"/>
      <c r="J12" s="392">
        <v>1</v>
      </c>
      <c r="K12" s="392"/>
      <c r="L12" s="79"/>
      <c r="M12" s="14"/>
      <c r="N12" s="163"/>
    </row>
    <row r="13" spans="1:19" ht="12">
      <c r="A13" s="10"/>
      <c r="B13" s="148" t="s">
        <v>19</v>
      </c>
      <c r="C13" s="353" t="s">
        <v>77</v>
      </c>
      <c r="D13" s="353"/>
      <c r="E13" s="353"/>
      <c r="F13" s="11"/>
      <c r="G13" s="354" t="s">
        <v>20</v>
      </c>
      <c r="H13" s="352"/>
      <c r="I13" s="352"/>
      <c r="J13" s="392" t="s">
        <v>205</v>
      </c>
      <c r="K13" s="392"/>
      <c r="L13" s="79"/>
      <c r="M13" s="14"/>
      <c r="N13" s="163"/>
    </row>
    <row r="14" spans="1:19" ht="12">
      <c r="A14" s="10"/>
      <c r="B14" s="146"/>
      <c r="C14" s="367"/>
      <c r="D14" s="367"/>
      <c r="E14" s="367"/>
      <c r="F14" s="11"/>
      <c r="G14" s="368"/>
      <c r="H14" s="369"/>
      <c r="I14" s="369"/>
      <c r="J14" s="80"/>
      <c r="K14" s="81"/>
      <c r="L14" s="82"/>
      <c r="M14" s="14"/>
      <c r="N14" s="163"/>
    </row>
    <row r="15" spans="1:19" ht="12">
      <c r="A15" s="10"/>
      <c r="B15" s="147" t="s">
        <v>137</v>
      </c>
      <c r="C15" s="370" t="s">
        <v>138</v>
      </c>
      <c r="D15" s="371"/>
      <c r="E15" s="371"/>
      <c r="F15" s="371"/>
      <c r="G15" s="371"/>
      <c r="H15" s="371"/>
      <c r="I15" s="372"/>
      <c r="J15" s="17"/>
      <c r="K15" s="373"/>
      <c r="L15" s="373"/>
      <c r="M15" s="14"/>
      <c r="O15" s="158" t="s">
        <v>52</v>
      </c>
      <c r="P15" s="158" t="s">
        <v>42</v>
      </c>
    </row>
    <row r="16" spans="1:19" ht="12">
      <c r="A16" s="4"/>
      <c r="B16" s="43"/>
      <c r="C16" s="44"/>
      <c r="D16" s="44"/>
      <c r="E16" s="44"/>
      <c r="F16" s="44"/>
      <c r="G16" s="44"/>
      <c r="H16" s="44"/>
      <c r="I16" s="44"/>
      <c r="J16" s="148"/>
      <c r="K16" s="45"/>
      <c r="L16" s="46"/>
      <c r="M16" s="14"/>
      <c r="O16" s="159">
        <v>0.15</v>
      </c>
      <c r="P16" s="159">
        <v>0.15</v>
      </c>
      <c r="Q16" s="158" t="s">
        <v>25</v>
      </c>
      <c r="R16" s="163" t="s">
        <v>26</v>
      </c>
      <c r="S16" s="169" t="s">
        <v>58</v>
      </c>
    </row>
    <row r="17" spans="1:20" ht="12">
      <c r="A17" s="4"/>
      <c r="B17" s="373" t="s">
        <v>204</v>
      </c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14"/>
      <c r="O17" s="159">
        <v>0.1</v>
      </c>
      <c r="P17" s="159">
        <v>0.12</v>
      </c>
    </row>
    <row r="18" spans="1:20" ht="12">
      <c r="A18" s="4"/>
      <c r="B18" s="118"/>
      <c r="C18" s="117"/>
      <c r="D18" s="117"/>
      <c r="E18" s="117"/>
      <c r="F18" s="117"/>
      <c r="G18" s="117"/>
      <c r="H18" s="117"/>
      <c r="I18" s="117"/>
      <c r="J18" s="117"/>
      <c r="K18" s="117"/>
      <c r="L18" s="119"/>
      <c r="M18" s="14"/>
      <c r="O18" s="159">
        <v>0.15</v>
      </c>
      <c r="P18" s="159">
        <v>0.7</v>
      </c>
    </row>
    <row r="19" spans="1:20" ht="12">
      <c r="A19" s="4"/>
      <c r="B19" s="83"/>
      <c r="C19" s="393"/>
      <c r="D19" s="393"/>
      <c r="E19" s="393"/>
      <c r="F19" s="393"/>
      <c r="G19" s="393"/>
      <c r="H19" s="393"/>
      <c r="I19" s="393"/>
      <c r="J19" s="47"/>
      <c r="K19" s="374"/>
      <c r="L19" s="375"/>
      <c r="M19" s="14"/>
      <c r="O19" s="159"/>
      <c r="P19" s="159"/>
    </row>
    <row r="20" spans="1:20" ht="24.95" customHeight="1">
      <c r="A20" s="4"/>
      <c r="B20" s="127"/>
      <c r="C20" s="379"/>
      <c r="D20" s="379"/>
      <c r="E20" s="379"/>
      <c r="F20" s="379"/>
      <c r="G20" s="379"/>
      <c r="H20" s="379"/>
      <c r="I20" s="379"/>
      <c r="J20" s="84"/>
      <c r="K20" s="424"/>
      <c r="L20" s="425"/>
      <c r="M20" s="14"/>
      <c r="N20" s="160"/>
      <c r="O20" s="230"/>
      <c r="P20" s="55"/>
      <c r="Q20" s="55"/>
      <c r="R20" s="164"/>
      <c r="S20" s="231"/>
    </row>
    <row r="21" spans="1:20" ht="27.6" customHeight="1">
      <c r="A21" s="10"/>
      <c r="B21" s="128">
        <v>1</v>
      </c>
      <c r="C21" s="379" t="s">
        <v>185</v>
      </c>
      <c r="D21" s="379" t="s">
        <v>33</v>
      </c>
      <c r="E21" s="379" t="s">
        <v>33</v>
      </c>
      <c r="F21" s="379" t="s">
        <v>33</v>
      </c>
      <c r="G21" s="379" t="s">
        <v>33</v>
      </c>
      <c r="H21" s="379" t="s">
        <v>33</v>
      </c>
      <c r="I21" s="379" t="s">
        <v>33</v>
      </c>
      <c r="J21" s="84"/>
      <c r="K21" s="424"/>
      <c r="L21" s="425"/>
      <c r="M21" s="14"/>
      <c r="N21" s="161" t="s">
        <v>53</v>
      </c>
      <c r="O21" s="230">
        <f t="shared" ref="O21:O24" si="0">N21*$O$18</f>
        <v>20.25</v>
      </c>
      <c r="P21" s="55">
        <f t="shared" ref="P21:P24" si="1">N21*$P$18</f>
        <v>94.5</v>
      </c>
      <c r="Q21" s="55">
        <f t="shared" ref="Q21:Q24" si="2">N21+O21+P21</f>
        <v>249.75</v>
      </c>
      <c r="R21" s="164">
        <f t="shared" ref="R21:R24" si="3">N21*B21</f>
        <v>135</v>
      </c>
      <c r="S21" s="231">
        <f t="shared" ref="S21:S24" si="4">O21*B21</f>
        <v>20.25</v>
      </c>
    </row>
    <row r="22" spans="1:20" ht="27" customHeight="1">
      <c r="A22" s="10"/>
      <c r="B22" s="128">
        <v>1</v>
      </c>
      <c r="C22" s="379" t="s">
        <v>186</v>
      </c>
      <c r="D22" s="379" t="s">
        <v>34</v>
      </c>
      <c r="E22" s="379" t="s">
        <v>34</v>
      </c>
      <c r="F22" s="379" t="s">
        <v>34</v>
      </c>
      <c r="G22" s="379" t="s">
        <v>34</v>
      </c>
      <c r="H22" s="379" t="s">
        <v>34</v>
      </c>
      <c r="I22" s="379" t="s">
        <v>34</v>
      </c>
      <c r="J22" s="84"/>
      <c r="K22" s="424"/>
      <c r="L22" s="425"/>
      <c r="M22" s="14"/>
      <c r="N22" s="161" t="s">
        <v>54</v>
      </c>
      <c r="O22" s="230">
        <f t="shared" si="0"/>
        <v>33.75</v>
      </c>
      <c r="P22" s="55">
        <f t="shared" si="1"/>
        <v>157.5</v>
      </c>
      <c r="Q22" s="55">
        <f t="shared" si="2"/>
        <v>416.25</v>
      </c>
      <c r="R22" s="164">
        <f t="shared" si="3"/>
        <v>225</v>
      </c>
      <c r="S22" s="231">
        <f t="shared" si="4"/>
        <v>33.75</v>
      </c>
    </row>
    <row r="23" spans="1:20" ht="24.95" customHeight="1">
      <c r="A23" s="10"/>
      <c r="B23" s="49">
        <v>1</v>
      </c>
      <c r="C23" s="385" t="s">
        <v>187</v>
      </c>
      <c r="D23" s="386"/>
      <c r="E23" s="386"/>
      <c r="F23" s="386"/>
      <c r="G23" s="386"/>
      <c r="H23" s="386"/>
      <c r="I23" s="387"/>
      <c r="J23" s="84"/>
      <c r="K23" s="411"/>
      <c r="L23" s="412"/>
      <c r="M23" s="51"/>
      <c r="N23" s="183" t="s">
        <v>113</v>
      </c>
      <c r="O23" s="230">
        <f t="shared" si="0"/>
        <v>54</v>
      </c>
      <c r="P23" s="55">
        <f t="shared" si="1"/>
        <v>251.99999999999997</v>
      </c>
      <c r="Q23" s="55">
        <f t="shared" si="2"/>
        <v>666</v>
      </c>
      <c r="R23" s="164">
        <f t="shared" si="3"/>
        <v>360</v>
      </c>
      <c r="S23" s="231">
        <f t="shared" si="4"/>
        <v>54</v>
      </c>
    </row>
    <row r="24" spans="1:20" s="12" customFormat="1" ht="24.95" customHeight="1">
      <c r="A24" s="10"/>
      <c r="B24" s="49">
        <v>1</v>
      </c>
      <c r="C24" s="379" t="s">
        <v>188</v>
      </c>
      <c r="D24" s="379"/>
      <c r="E24" s="379"/>
      <c r="F24" s="379"/>
      <c r="G24" s="379"/>
      <c r="H24" s="379"/>
      <c r="I24" s="379"/>
      <c r="J24" s="84"/>
      <c r="K24" s="424"/>
      <c r="L24" s="425"/>
      <c r="M24" s="51"/>
      <c r="N24" s="184" t="s">
        <v>55</v>
      </c>
      <c r="O24" s="230">
        <f t="shared" si="0"/>
        <v>39</v>
      </c>
      <c r="P24" s="55">
        <f t="shared" si="1"/>
        <v>182</v>
      </c>
      <c r="Q24" s="55">
        <f t="shared" si="2"/>
        <v>481</v>
      </c>
      <c r="R24" s="164">
        <f t="shared" si="3"/>
        <v>260</v>
      </c>
      <c r="S24" s="231">
        <f t="shared" si="4"/>
        <v>39</v>
      </c>
      <c r="T24" s="5"/>
    </row>
    <row r="25" spans="1:20" ht="24.95" customHeight="1">
      <c r="A25" s="10"/>
      <c r="B25" s="52">
        <v>1</v>
      </c>
      <c r="C25" s="379" t="s">
        <v>189</v>
      </c>
      <c r="D25" s="379"/>
      <c r="E25" s="379"/>
      <c r="F25" s="379"/>
      <c r="G25" s="379"/>
      <c r="H25" s="379"/>
      <c r="I25" s="379"/>
      <c r="J25" s="84"/>
      <c r="K25" s="250"/>
      <c r="L25" s="251"/>
      <c r="M25" s="14"/>
      <c r="N25" s="168">
        <v>145</v>
      </c>
      <c r="O25" s="230">
        <f>N25*$O$18</f>
        <v>21.75</v>
      </c>
      <c r="P25" s="55">
        <f>N25*$P$18</f>
        <v>101.5</v>
      </c>
      <c r="Q25" s="55">
        <f>N25+O25+P25</f>
        <v>268.25</v>
      </c>
      <c r="R25" s="164">
        <f>N25*B25</f>
        <v>145</v>
      </c>
      <c r="S25" s="231">
        <f>O25*B25</f>
        <v>21.75</v>
      </c>
    </row>
    <row r="26" spans="1:20" ht="24.95" customHeight="1">
      <c r="A26" s="10"/>
      <c r="B26" s="52">
        <v>1</v>
      </c>
      <c r="C26" s="379" t="s">
        <v>190</v>
      </c>
      <c r="D26" s="379"/>
      <c r="E26" s="379"/>
      <c r="F26" s="379"/>
      <c r="G26" s="379"/>
      <c r="H26" s="379"/>
      <c r="I26" s="379"/>
      <c r="J26" s="84"/>
      <c r="K26" s="424"/>
      <c r="L26" s="425"/>
      <c r="M26" s="14"/>
      <c r="N26" s="168">
        <v>10.31</v>
      </c>
      <c r="O26" s="230">
        <f>N26*$O$18</f>
        <v>1.5465</v>
      </c>
      <c r="P26" s="55">
        <f>N26*$P$18</f>
        <v>7.2169999999999996</v>
      </c>
      <c r="Q26" s="55">
        <f>N26+O26+P26</f>
        <v>19.073499999999999</v>
      </c>
      <c r="R26" s="164">
        <f>N26*B26</f>
        <v>10.31</v>
      </c>
      <c r="S26" s="231">
        <f>O26*B26</f>
        <v>1.5465</v>
      </c>
    </row>
    <row r="27" spans="1:20" ht="24.95" customHeight="1">
      <c r="A27" s="4"/>
      <c r="B27" s="52">
        <v>2</v>
      </c>
      <c r="C27" s="482" t="s">
        <v>191</v>
      </c>
      <c r="D27" s="482"/>
      <c r="E27" s="482"/>
      <c r="F27" s="482"/>
      <c r="G27" s="482"/>
      <c r="H27" s="482"/>
      <c r="I27" s="482"/>
      <c r="J27" s="84"/>
      <c r="K27" s="411"/>
      <c r="L27" s="412"/>
      <c r="M27" s="10"/>
      <c r="N27" s="195">
        <v>21</v>
      </c>
      <c r="O27" s="230">
        <f t="shared" ref="O27:O29" si="5">N27*$O$18</f>
        <v>3.15</v>
      </c>
      <c r="P27" s="55">
        <f t="shared" ref="P27:P29" si="6">N27*$P$18</f>
        <v>14.7</v>
      </c>
      <c r="Q27" s="55">
        <f t="shared" ref="Q27:Q29" si="7">N27+O27+P27</f>
        <v>38.849999999999994</v>
      </c>
      <c r="R27" s="164">
        <f t="shared" ref="R27:R29" si="8">N27*B27</f>
        <v>42</v>
      </c>
      <c r="S27" s="231">
        <f t="shared" ref="S27:S29" si="9">O27*B27</f>
        <v>6.3</v>
      </c>
    </row>
    <row r="28" spans="1:20" ht="24.95" customHeight="1">
      <c r="A28" s="4"/>
      <c r="B28" s="52">
        <v>2</v>
      </c>
      <c r="C28" s="482" t="s">
        <v>192</v>
      </c>
      <c r="D28" s="482"/>
      <c r="E28" s="482"/>
      <c r="F28" s="482"/>
      <c r="G28" s="482"/>
      <c r="H28" s="482"/>
      <c r="I28" s="482"/>
      <c r="J28" s="84"/>
      <c r="K28" s="411"/>
      <c r="L28" s="412"/>
      <c r="M28" s="14"/>
      <c r="N28" s="168">
        <v>19</v>
      </c>
      <c r="O28" s="230">
        <f t="shared" si="5"/>
        <v>2.85</v>
      </c>
      <c r="P28" s="55">
        <f t="shared" si="6"/>
        <v>13.299999999999999</v>
      </c>
      <c r="Q28" s="55">
        <f t="shared" si="7"/>
        <v>35.15</v>
      </c>
      <c r="R28" s="164">
        <f t="shared" si="8"/>
        <v>38</v>
      </c>
      <c r="S28" s="231">
        <f t="shared" si="9"/>
        <v>5.7</v>
      </c>
    </row>
    <row r="29" spans="1:20" ht="24.95" customHeight="1">
      <c r="A29" s="4"/>
      <c r="B29" s="52">
        <v>2</v>
      </c>
      <c r="C29" s="482" t="s">
        <v>193</v>
      </c>
      <c r="D29" s="482"/>
      <c r="E29" s="482"/>
      <c r="F29" s="482"/>
      <c r="G29" s="482"/>
      <c r="H29" s="482"/>
      <c r="I29" s="482"/>
      <c r="J29" s="84"/>
      <c r="K29" s="411"/>
      <c r="L29" s="412"/>
      <c r="M29" s="14"/>
      <c r="N29" s="168">
        <v>34.79</v>
      </c>
      <c r="O29" s="230">
        <f t="shared" si="5"/>
        <v>5.2184999999999997</v>
      </c>
      <c r="P29" s="55">
        <f t="shared" si="6"/>
        <v>24.352999999999998</v>
      </c>
      <c r="Q29" s="55">
        <f t="shared" si="7"/>
        <v>64.361499999999992</v>
      </c>
      <c r="R29" s="164">
        <f t="shared" si="8"/>
        <v>69.58</v>
      </c>
      <c r="S29" s="231">
        <f t="shared" si="9"/>
        <v>10.436999999999999</v>
      </c>
    </row>
    <row r="30" spans="1:20" s="12" customFormat="1" ht="24.95" customHeight="1">
      <c r="A30" s="4"/>
      <c r="B30" s="127"/>
      <c r="C30" s="379"/>
      <c r="D30" s="379"/>
      <c r="E30" s="379"/>
      <c r="F30" s="379"/>
      <c r="G30" s="379"/>
      <c r="H30" s="379"/>
      <c r="I30" s="379"/>
      <c r="J30" s="84"/>
      <c r="K30" s="424"/>
      <c r="L30" s="425"/>
      <c r="M30" s="14"/>
      <c r="N30" s="183"/>
      <c r="O30" s="230"/>
      <c r="P30" s="55"/>
      <c r="Q30" s="55"/>
      <c r="R30" s="249">
        <f>SUM(R17:R29)</f>
        <v>1284.8899999999999</v>
      </c>
      <c r="S30" s="249">
        <f>SUM(S17:S29)</f>
        <v>192.73350000000002</v>
      </c>
      <c r="T30" s="5"/>
    </row>
    <row r="31" spans="1:20" ht="24.95" customHeight="1">
      <c r="A31" s="10"/>
      <c r="B31" s="50"/>
      <c r="C31" s="379"/>
      <c r="D31" s="379"/>
      <c r="E31" s="379"/>
      <c r="F31" s="379"/>
      <c r="G31" s="379"/>
      <c r="H31" s="379"/>
      <c r="I31" s="379"/>
      <c r="J31" s="3"/>
      <c r="K31" s="433"/>
      <c r="L31" s="434"/>
      <c r="M31" s="51"/>
      <c r="N31" s="162"/>
      <c r="O31" s="171"/>
      <c r="P31" s="55"/>
      <c r="Q31" s="55"/>
      <c r="R31" s="55"/>
      <c r="S31" s="55"/>
      <c r="T31" s="55"/>
    </row>
    <row r="32" spans="1:20" ht="24.95" customHeight="1">
      <c r="A32" s="10"/>
      <c r="B32" s="50"/>
      <c r="C32" s="492"/>
      <c r="D32" s="492"/>
      <c r="E32" s="492"/>
      <c r="F32" s="492"/>
      <c r="G32" s="492"/>
      <c r="H32" s="492"/>
      <c r="I32" s="492"/>
      <c r="J32" s="2"/>
      <c r="K32" s="480"/>
      <c r="L32" s="481"/>
      <c r="M32" s="51"/>
      <c r="O32" s="162"/>
      <c r="P32" s="171"/>
      <c r="Q32" s="55"/>
      <c r="R32" s="55"/>
      <c r="S32" s="55"/>
      <c r="T32" s="55"/>
    </row>
    <row r="33" spans="1:20" ht="24.95" customHeight="1">
      <c r="A33" s="10"/>
      <c r="B33" s="50"/>
      <c r="C33" s="492"/>
      <c r="D33" s="492"/>
      <c r="E33" s="492"/>
      <c r="F33" s="492"/>
      <c r="G33" s="492"/>
      <c r="H33" s="492"/>
      <c r="I33" s="492"/>
      <c r="J33" s="2"/>
      <c r="K33" s="480"/>
      <c r="L33" s="481"/>
      <c r="M33" s="51"/>
      <c r="P33" s="171"/>
      <c r="Q33" s="55"/>
      <c r="R33" s="55"/>
      <c r="S33" s="55"/>
      <c r="T33" s="55"/>
    </row>
    <row r="34" spans="1:20" ht="24.95" customHeight="1">
      <c r="A34" s="10"/>
      <c r="B34" s="50"/>
      <c r="C34" s="492"/>
      <c r="D34" s="492"/>
      <c r="E34" s="492"/>
      <c r="F34" s="492"/>
      <c r="G34" s="492"/>
      <c r="H34" s="492"/>
      <c r="I34" s="492"/>
      <c r="J34" s="2"/>
      <c r="K34" s="480"/>
      <c r="L34" s="481"/>
      <c r="M34" s="51"/>
      <c r="P34" s="171"/>
      <c r="Q34" s="55"/>
      <c r="R34" s="55"/>
      <c r="S34" s="55"/>
      <c r="T34" s="55"/>
    </row>
    <row r="35" spans="1:20" ht="24.95" customHeight="1">
      <c r="A35" s="10"/>
      <c r="B35" s="50"/>
      <c r="C35" s="155"/>
      <c r="D35" s="156"/>
      <c r="E35" s="156"/>
      <c r="F35" s="156"/>
      <c r="G35" s="156"/>
      <c r="H35" s="156"/>
      <c r="I35" s="157"/>
      <c r="J35" s="2"/>
      <c r="K35" s="134"/>
      <c r="L35" s="133"/>
      <c r="M35" s="51"/>
      <c r="Q35" s="55"/>
      <c r="R35" s="55"/>
      <c r="S35" s="55"/>
      <c r="T35" s="55"/>
    </row>
    <row r="36" spans="1:20" ht="24.95" customHeight="1">
      <c r="A36" s="10"/>
      <c r="B36" s="50"/>
      <c r="C36" s="155"/>
      <c r="D36" s="156"/>
      <c r="E36" s="156"/>
      <c r="F36" s="156"/>
      <c r="G36" s="156"/>
      <c r="H36" s="156"/>
      <c r="I36" s="157"/>
      <c r="J36" s="2"/>
      <c r="K36" s="134"/>
      <c r="L36" s="133"/>
      <c r="M36" s="51"/>
      <c r="P36" s="171"/>
      <c r="Q36" s="55"/>
      <c r="R36" s="55"/>
      <c r="S36" s="55"/>
      <c r="T36" s="55"/>
    </row>
    <row r="37" spans="1:20" ht="24.95" customHeight="1">
      <c r="A37" s="10"/>
      <c r="B37" s="50"/>
      <c r="C37" s="155"/>
      <c r="D37" s="156"/>
      <c r="E37" s="156"/>
      <c r="F37" s="156"/>
      <c r="G37" s="156"/>
      <c r="H37" s="156"/>
      <c r="I37" s="157"/>
      <c r="J37" s="2"/>
      <c r="K37" s="134"/>
      <c r="L37" s="133"/>
      <c r="M37" s="51"/>
      <c r="O37" s="55"/>
      <c r="P37" s="55"/>
      <c r="Q37" s="55"/>
      <c r="R37" s="55"/>
      <c r="S37" s="55"/>
      <c r="T37" s="55"/>
    </row>
    <row r="38" spans="1:20" ht="27.75" customHeight="1">
      <c r="A38" s="10"/>
      <c r="B38" s="50"/>
      <c r="C38" s="155"/>
      <c r="D38" s="156"/>
      <c r="E38" s="156"/>
      <c r="F38" s="156"/>
      <c r="G38" s="156"/>
      <c r="H38" s="156"/>
      <c r="I38" s="157"/>
      <c r="J38" s="2"/>
      <c r="K38" s="134"/>
      <c r="L38" s="133"/>
      <c r="M38" s="51"/>
      <c r="O38" s="55"/>
      <c r="P38" s="55"/>
      <c r="Q38" s="55"/>
      <c r="R38" s="55"/>
      <c r="S38" s="55"/>
      <c r="T38" s="55"/>
    </row>
    <row r="39" spans="1:20" ht="24.75" customHeight="1">
      <c r="A39" s="13"/>
      <c r="B39" s="136"/>
      <c r="C39" s="435"/>
      <c r="D39" s="435"/>
      <c r="E39" s="435"/>
      <c r="F39" s="435"/>
      <c r="G39" s="435"/>
      <c r="H39" s="435"/>
      <c r="I39" s="435"/>
      <c r="J39" s="135"/>
      <c r="K39" s="436"/>
      <c r="L39" s="437"/>
      <c r="M39" s="137"/>
      <c r="O39" s="55"/>
      <c r="P39" s="55"/>
      <c r="Q39" s="55"/>
      <c r="R39" s="55"/>
      <c r="S39" s="55"/>
      <c r="T39" s="55"/>
    </row>
  </sheetData>
  <mergeCells count="61">
    <mergeCell ref="G2:I2"/>
    <mergeCell ref="G3:I3"/>
    <mergeCell ref="B4:F5"/>
    <mergeCell ref="G4:I4"/>
    <mergeCell ref="J4:K4"/>
    <mergeCell ref="G5:I5"/>
    <mergeCell ref="J5:K5"/>
    <mergeCell ref="G6:I6"/>
    <mergeCell ref="C9:E9"/>
    <mergeCell ref="G9:I9"/>
    <mergeCell ref="J9:K9"/>
    <mergeCell ref="C10:E10"/>
    <mergeCell ref="G10:I10"/>
    <mergeCell ref="J10:L10"/>
    <mergeCell ref="C11:E11"/>
    <mergeCell ref="G11:I11"/>
    <mergeCell ref="J11:K11"/>
    <mergeCell ref="C12:E12"/>
    <mergeCell ref="G12:I12"/>
    <mergeCell ref="J12:K12"/>
    <mergeCell ref="C21:I21"/>
    <mergeCell ref="K21:L21"/>
    <mergeCell ref="C13:E13"/>
    <mergeCell ref="G13:I13"/>
    <mergeCell ref="J13:K13"/>
    <mergeCell ref="C14:E14"/>
    <mergeCell ref="G14:I14"/>
    <mergeCell ref="C15:I15"/>
    <mergeCell ref="K15:L15"/>
    <mergeCell ref="B17:L17"/>
    <mergeCell ref="C19:I19"/>
    <mergeCell ref="K19:L19"/>
    <mergeCell ref="C20:I20"/>
    <mergeCell ref="K20:L20"/>
    <mergeCell ref="C28:I28"/>
    <mergeCell ref="K28:L28"/>
    <mergeCell ref="C22:I22"/>
    <mergeCell ref="K22:L22"/>
    <mergeCell ref="C23:I23"/>
    <mergeCell ref="K23:L23"/>
    <mergeCell ref="C24:I24"/>
    <mergeCell ref="K24:L24"/>
    <mergeCell ref="C25:I25"/>
    <mergeCell ref="C26:I26"/>
    <mergeCell ref="K26:L26"/>
    <mergeCell ref="C27:I27"/>
    <mergeCell ref="K27:L27"/>
    <mergeCell ref="C29:I29"/>
    <mergeCell ref="K29:L29"/>
    <mergeCell ref="C30:I30"/>
    <mergeCell ref="K30:L30"/>
    <mergeCell ref="C31:I31"/>
    <mergeCell ref="K31:L31"/>
    <mergeCell ref="C39:I39"/>
    <mergeCell ref="K39:L39"/>
    <mergeCell ref="C32:I32"/>
    <mergeCell ref="K32:L32"/>
    <mergeCell ref="C33:I33"/>
    <mergeCell ref="K33:L33"/>
    <mergeCell ref="C34:I34"/>
    <mergeCell ref="K34:L34"/>
  </mergeCells>
  <dataValidations count="4">
    <dataValidation allowBlank="1" showInputMessage="1" showErrorMessage="1" promptTitle="Información de la organización" prompt="Para escribir varias líneas en una celda, use Alt+Entrar.  También puede personalizar esta plantilla y guardarla como una nueva para su uso posterior. Para más información sobre cómo crear plantillas personalizadas, vea los temas de ayuda." sqref="B1:I1" xr:uid="{00000000-0002-0000-0600-000000000000}"/>
    <dataValidation errorStyle="warning" allowBlank="1" showInputMessage="1" errorTitle="Estado" promptTitle="Estado" prompt="Escriba la abreviatura del estado en esta celda." sqref="E11" xr:uid="{00000000-0002-0000-0600-000001000000}"/>
    <dataValidation type="decimal" allowBlank="1" showErrorMessage="1" errorTitle="Precio unitario" error="Debe escribir un número en esta celda." promptTitle="Precio unitario" sqref="J19:J30" xr:uid="{00000000-0002-0000-0600-000002000000}">
      <formula1>0</formula1>
      <formula2>1000000000</formula2>
    </dataValidation>
    <dataValidation type="whole" errorStyle="warning" allowBlank="1" showErrorMessage="1" errorTitle="Cantidad" error="Debe escribir un número en esta celda." promptTitle="Cantidad" sqref="B31:B39 B25:B29 B19" xr:uid="{00000000-0002-0000-0600-000003000000}">
      <formula1>0</formula1>
      <formula2>1000000000</formula2>
    </dataValidation>
  </dataValidations>
  <hyperlinks>
    <hyperlink ref="J4" r:id="rId1" xr:uid="{00000000-0004-0000-0600-000000000000}"/>
    <hyperlink ref="J5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orientation="portrait" r:id="rId3"/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J40"/>
  <sheetViews>
    <sheetView tabSelected="1" view="pageBreakPreview" zoomScaleNormal="100" zoomScaleSheetLayoutView="100" workbookViewId="0">
      <selection activeCell="C9" sqref="C9:E9"/>
    </sheetView>
  </sheetViews>
  <sheetFormatPr baseColWidth="10" defaultColWidth="2.7109375" defaultRowHeight="10.5"/>
  <cols>
    <col min="1" max="1" width="1.28515625" style="5" customWidth="1"/>
    <col min="2" max="2" width="19.7109375" style="5" customWidth="1"/>
    <col min="3" max="3" width="14.5703125" style="5" customWidth="1"/>
    <col min="4" max="4" width="9.140625" style="5" customWidth="1"/>
    <col min="5" max="5" width="7.85546875" style="5" customWidth="1"/>
    <col min="6" max="6" width="0.5703125" style="5" customWidth="1"/>
    <col min="7" max="7" width="8.28515625" style="5" customWidth="1"/>
    <col min="8" max="8" width="1.42578125" style="5" customWidth="1"/>
    <col min="9" max="9" width="3.7109375" style="5" customWidth="1"/>
    <col min="10" max="10" width="17" style="78" customWidth="1"/>
    <col min="11" max="11" width="16.7109375" style="5" customWidth="1"/>
    <col min="12" max="12" width="1.140625" style="5" customWidth="1"/>
    <col min="13" max="13" width="1.28515625" style="5" customWidth="1"/>
    <col min="14" max="14" width="28.140625" style="310" customWidth="1"/>
    <col min="15" max="15" width="16.85546875" style="172" customWidth="1"/>
    <col min="16" max="16" width="28.140625" style="172" customWidth="1"/>
    <col min="17" max="17" width="19.42578125" style="172" customWidth="1"/>
    <col min="18" max="21" width="28.140625" style="172" customWidth="1"/>
    <col min="22" max="22" width="4" style="172" customWidth="1"/>
    <col min="23" max="64" width="2.7109375" style="172"/>
    <col min="65" max="16384" width="2.7109375" style="5"/>
  </cols>
  <sheetData>
    <row r="1" spans="1:22" ht="12.75" thickBot="1">
      <c r="A1" s="19"/>
      <c r="B1" s="20"/>
      <c r="C1" s="20"/>
      <c r="D1" s="21"/>
      <c r="E1" s="21"/>
      <c r="F1" s="21"/>
      <c r="G1" s="21"/>
      <c r="H1" s="21"/>
      <c r="I1" s="21"/>
      <c r="J1" s="22"/>
      <c r="K1" s="23"/>
      <c r="L1" s="24"/>
      <c r="M1" s="23"/>
    </row>
    <row r="2" spans="1:22" ht="12">
      <c r="A2" s="4"/>
      <c r="B2" s="25"/>
      <c r="C2" s="26"/>
      <c r="D2" s="27"/>
      <c r="E2" s="27"/>
      <c r="F2" s="27"/>
      <c r="G2" s="349" t="s">
        <v>0</v>
      </c>
      <c r="H2" s="350"/>
      <c r="I2" s="350"/>
      <c r="J2" s="28"/>
      <c r="K2" s="29"/>
      <c r="L2" s="30"/>
      <c r="M2" s="307"/>
    </row>
    <row r="3" spans="1:22" ht="12">
      <c r="A3" s="4"/>
      <c r="B3" s="25"/>
      <c r="C3" s="31"/>
      <c r="D3" s="32"/>
      <c r="E3" s="32"/>
      <c r="F3" s="32"/>
      <c r="G3" s="351" t="s">
        <v>2</v>
      </c>
      <c r="H3" s="352"/>
      <c r="I3" s="352"/>
      <c r="J3" s="18"/>
      <c r="K3" s="18"/>
      <c r="L3" s="222"/>
      <c r="M3" s="33"/>
    </row>
    <row r="4" spans="1:22" ht="14.25" customHeight="1">
      <c r="A4" s="34"/>
      <c r="B4" s="358"/>
      <c r="C4" s="358"/>
      <c r="D4" s="358"/>
      <c r="E4" s="358"/>
      <c r="F4" s="306"/>
      <c r="G4" s="351" t="s">
        <v>6</v>
      </c>
      <c r="H4" s="352"/>
      <c r="I4" s="352"/>
      <c r="J4" s="359"/>
      <c r="K4" s="359"/>
      <c r="L4" s="14"/>
      <c r="M4" s="35"/>
    </row>
    <row r="5" spans="1:22" ht="15.75" customHeight="1" thickBot="1">
      <c r="A5" s="4"/>
      <c r="B5" s="358"/>
      <c r="C5" s="358"/>
      <c r="D5" s="358"/>
      <c r="E5" s="358"/>
      <c r="F5" s="306"/>
      <c r="G5" s="351" t="s">
        <v>8</v>
      </c>
      <c r="H5" s="352"/>
      <c r="I5" s="352"/>
      <c r="J5" s="359"/>
      <c r="K5" s="359"/>
      <c r="L5" s="14"/>
      <c r="M5" s="35"/>
    </row>
    <row r="6" spans="1:22" ht="12.75" thickBot="1">
      <c r="A6" s="4"/>
      <c r="B6" s="304"/>
      <c r="C6" s="304"/>
      <c r="D6" s="304"/>
      <c r="E6" s="304"/>
      <c r="F6" s="304"/>
      <c r="G6" s="361"/>
      <c r="H6" s="361"/>
      <c r="I6" s="361"/>
      <c r="J6" s="36"/>
      <c r="K6" s="35"/>
      <c r="L6" s="14"/>
      <c r="M6" s="35"/>
    </row>
    <row r="7" spans="1:22" ht="12.75" thickBot="1">
      <c r="A7" s="4"/>
      <c r="B7" s="37" t="s">
        <v>10</v>
      </c>
      <c r="C7" s="38"/>
      <c r="D7" s="39"/>
      <c r="E7" s="39"/>
      <c r="F7" s="40"/>
      <c r="G7" s="41"/>
      <c r="H7" s="39"/>
      <c r="I7" s="41"/>
      <c r="J7" s="42"/>
      <c r="K7" s="39"/>
      <c r="L7" s="105"/>
      <c r="M7" s="35"/>
    </row>
    <row r="8" spans="1:22" ht="12">
      <c r="A8" s="10"/>
      <c r="B8" s="39"/>
      <c r="C8" s="35"/>
      <c r="D8" s="35"/>
      <c r="E8" s="35"/>
      <c r="F8" s="11"/>
      <c r="G8" s="35"/>
      <c r="H8" s="35"/>
      <c r="I8" s="35"/>
      <c r="J8" s="26"/>
      <c r="K8" s="35"/>
      <c r="L8" s="14"/>
      <c r="M8" s="35"/>
    </row>
    <row r="9" spans="1:22" ht="13.5" customHeight="1">
      <c r="A9" s="10"/>
      <c r="B9" s="148" t="s">
        <v>11</v>
      </c>
      <c r="C9" s="355"/>
      <c r="D9" s="355"/>
      <c r="E9" s="355"/>
      <c r="F9" s="11"/>
      <c r="G9" s="354" t="s">
        <v>12</v>
      </c>
      <c r="H9" s="352"/>
      <c r="I9" s="352"/>
      <c r="J9" s="362"/>
      <c r="K9" s="360"/>
      <c r="L9" s="275"/>
      <c r="M9" s="35"/>
    </row>
    <row r="10" spans="1:22" ht="13.5" customHeight="1">
      <c r="A10" s="10"/>
      <c r="B10" s="148" t="s">
        <v>13</v>
      </c>
      <c r="C10" s="356"/>
      <c r="D10" s="356"/>
      <c r="E10" s="356"/>
      <c r="F10" s="11"/>
      <c r="G10" s="354" t="s">
        <v>14</v>
      </c>
      <c r="H10" s="352"/>
      <c r="I10" s="352"/>
      <c r="J10" s="363"/>
      <c r="K10" s="363"/>
      <c r="L10" s="363"/>
      <c r="M10" s="4"/>
    </row>
    <row r="11" spans="1:22" ht="13.5" customHeight="1">
      <c r="A11" s="10"/>
      <c r="B11" s="148"/>
      <c r="C11" s="357"/>
      <c r="D11" s="357"/>
      <c r="E11" s="357"/>
      <c r="F11" s="11"/>
      <c r="G11" s="354" t="s">
        <v>17</v>
      </c>
      <c r="H11" s="352"/>
      <c r="I11" s="352"/>
      <c r="J11" s="360"/>
      <c r="K11" s="360"/>
      <c r="L11" s="275"/>
      <c r="M11" s="35"/>
    </row>
    <row r="12" spans="1:22" ht="13.5" customHeight="1">
      <c r="A12" s="10"/>
      <c r="B12" s="148" t="s">
        <v>15</v>
      </c>
      <c r="C12" s="353"/>
      <c r="D12" s="353"/>
      <c r="E12" s="353"/>
      <c r="F12" s="11"/>
      <c r="G12" s="354" t="s">
        <v>18</v>
      </c>
      <c r="H12" s="352"/>
      <c r="I12" s="352"/>
      <c r="J12" s="360"/>
      <c r="K12" s="360"/>
      <c r="L12" s="275"/>
      <c r="M12" s="4"/>
    </row>
    <row r="13" spans="1:22" ht="13.5" customHeight="1">
      <c r="A13" s="10"/>
      <c r="B13" s="148" t="s">
        <v>19</v>
      </c>
      <c r="C13" s="353"/>
      <c r="D13" s="353"/>
      <c r="E13" s="353"/>
      <c r="F13" s="11"/>
      <c r="G13" s="354" t="s">
        <v>20</v>
      </c>
      <c r="H13" s="352"/>
      <c r="I13" s="352"/>
      <c r="J13" s="360"/>
      <c r="K13" s="360"/>
      <c r="L13" s="275"/>
      <c r="M13" s="4"/>
    </row>
    <row r="14" spans="1:22" ht="12">
      <c r="A14" s="10"/>
      <c r="B14" s="146"/>
      <c r="C14" s="367"/>
      <c r="D14" s="367"/>
      <c r="E14" s="367"/>
      <c r="F14" s="11"/>
      <c r="G14" s="368"/>
      <c r="H14" s="369"/>
      <c r="I14" s="369"/>
      <c r="J14" s="80"/>
      <c r="K14" s="81"/>
      <c r="L14" s="82"/>
      <c r="M14" s="4"/>
      <c r="O14" s="311"/>
      <c r="P14" s="311"/>
      <c r="S14" s="311"/>
    </row>
    <row r="15" spans="1:22" ht="12.6" customHeight="1">
      <c r="A15" s="10"/>
      <c r="B15" s="252" t="s">
        <v>21</v>
      </c>
      <c r="C15" s="370" t="s">
        <v>22</v>
      </c>
      <c r="D15" s="371"/>
      <c r="E15" s="371"/>
      <c r="F15" s="371"/>
      <c r="G15" s="371"/>
      <c r="H15" s="371"/>
      <c r="I15" s="372"/>
      <c r="J15" s="17" t="s">
        <v>23</v>
      </c>
      <c r="K15" s="373" t="s">
        <v>24</v>
      </c>
      <c r="L15" s="373"/>
      <c r="M15" s="4"/>
      <c r="O15" s="312"/>
      <c r="P15" s="312"/>
      <c r="Q15" s="313"/>
      <c r="R15" s="311"/>
      <c r="S15" s="311"/>
      <c r="T15" s="311"/>
      <c r="U15" s="313"/>
      <c r="V15" s="313"/>
    </row>
    <row r="16" spans="1:22" ht="12" customHeight="1">
      <c r="A16" s="10"/>
      <c r="B16" s="44"/>
      <c r="C16" s="44"/>
      <c r="D16" s="44"/>
      <c r="E16" s="44"/>
      <c r="F16" s="44"/>
      <c r="G16" s="44"/>
      <c r="H16" s="44"/>
      <c r="I16" s="44"/>
      <c r="J16" s="148"/>
      <c r="K16" s="45"/>
      <c r="L16" s="46"/>
      <c r="M16" s="4"/>
      <c r="N16" s="378" t="s">
        <v>214</v>
      </c>
      <c r="O16" s="378" t="s">
        <v>215</v>
      </c>
      <c r="P16" s="378" t="s">
        <v>216</v>
      </c>
      <c r="Q16" s="378" t="s">
        <v>217</v>
      </c>
      <c r="R16" s="378" t="s">
        <v>60</v>
      </c>
      <c r="S16" s="376" t="s">
        <v>218</v>
      </c>
      <c r="T16" s="376" t="s">
        <v>219</v>
      </c>
      <c r="U16" s="376" t="s">
        <v>220</v>
      </c>
      <c r="V16" s="377"/>
    </row>
    <row r="17" spans="1:218" ht="12.75" customHeight="1">
      <c r="A17" s="10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9"/>
      <c r="M17" s="4"/>
      <c r="N17" s="378"/>
      <c r="O17" s="378"/>
      <c r="P17" s="378"/>
      <c r="Q17" s="378"/>
      <c r="R17" s="378"/>
      <c r="S17" s="376"/>
      <c r="T17" s="376"/>
      <c r="U17" s="376"/>
      <c r="V17" s="377"/>
    </row>
    <row r="18" spans="1:218" ht="12" customHeight="1">
      <c r="A18" s="10"/>
      <c r="B18" s="272"/>
      <c r="C18" s="366"/>
      <c r="D18" s="366"/>
      <c r="E18" s="366"/>
      <c r="F18" s="366"/>
      <c r="G18" s="366"/>
      <c r="H18" s="366"/>
      <c r="I18" s="366"/>
      <c r="J18" s="101"/>
      <c r="K18" s="374"/>
      <c r="L18" s="375"/>
      <c r="M18" s="4"/>
      <c r="N18" s="378"/>
      <c r="O18" s="378"/>
      <c r="P18" s="378"/>
      <c r="Q18" s="378"/>
      <c r="R18" s="378"/>
      <c r="S18" s="376"/>
      <c r="T18" s="376"/>
      <c r="U18" s="376"/>
      <c r="V18" s="377"/>
    </row>
    <row r="19" spans="1:218" s="143" customFormat="1" ht="27.75" customHeight="1">
      <c r="A19" s="10"/>
      <c r="B19" s="285"/>
      <c r="C19" s="346"/>
      <c r="D19" s="347"/>
      <c r="E19" s="347"/>
      <c r="F19" s="347"/>
      <c r="G19" s="347"/>
      <c r="H19" s="347"/>
      <c r="I19" s="348"/>
      <c r="J19" s="289"/>
      <c r="K19" s="364"/>
      <c r="L19" s="365"/>
      <c r="M19" s="308"/>
      <c r="N19" s="334"/>
      <c r="O19" s="345"/>
      <c r="P19" s="335"/>
      <c r="Q19" s="345"/>
      <c r="R19" s="336"/>
      <c r="S19" s="336"/>
      <c r="T19" s="336"/>
      <c r="U19" s="341"/>
      <c r="V19" s="34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2"/>
      <c r="AZ19" s="172"/>
      <c r="BA19" s="172"/>
      <c r="BB19" s="172"/>
      <c r="BC19" s="172"/>
      <c r="BD19" s="172"/>
      <c r="BE19" s="172"/>
      <c r="BF19" s="172"/>
      <c r="BG19" s="172"/>
      <c r="BH19" s="172"/>
      <c r="BI19" s="172"/>
      <c r="BJ19" s="172"/>
      <c r="BK19" s="172"/>
      <c r="BL19" s="172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</row>
    <row r="20" spans="1:218" s="143" customFormat="1" ht="28.35" customHeight="1">
      <c r="A20" s="10"/>
      <c r="B20" s="285"/>
      <c r="C20" s="346"/>
      <c r="D20" s="347"/>
      <c r="E20" s="347"/>
      <c r="F20" s="347"/>
      <c r="G20" s="347"/>
      <c r="H20" s="347"/>
      <c r="I20" s="348"/>
      <c r="J20" s="289"/>
      <c r="K20" s="364"/>
      <c r="L20" s="365"/>
      <c r="M20" s="308"/>
      <c r="N20" s="335"/>
      <c r="O20" s="345"/>
      <c r="P20" s="335"/>
      <c r="Q20" s="345"/>
      <c r="R20" s="335"/>
      <c r="S20" s="335"/>
      <c r="T20" s="335"/>
      <c r="U20" s="341"/>
      <c r="V20" s="337"/>
      <c r="W20" s="314"/>
      <c r="X20" s="314"/>
      <c r="Y20" s="314"/>
      <c r="Z20" s="314"/>
      <c r="AA20" s="314"/>
      <c r="AB20" s="314"/>
      <c r="AC20" s="314"/>
      <c r="AD20" s="314"/>
      <c r="AE20" s="314"/>
      <c r="AF20" s="314"/>
      <c r="AG20" s="314"/>
      <c r="AH20" s="314"/>
      <c r="AI20" s="314"/>
      <c r="AJ20" s="314"/>
      <c r="AK20" s="314"/>
      <c r="AL20" s="314"/>
      <c r="AM20" s="314"/>
      <c r="AN20" s="314"/>
      <c r="AO20" s="314"/>
      <c r="AP20" s="314"/>
      <c r="AQ20" s="314"/>
      <c r="AR20" s="314"/>
      <c r="AS20" s="314"/>
      <c r="AT20" s="314"/>
      <c r="AU20" s="314"/>
      <c r="AV20" s="314"/>
      <c r="AW20" s="314"/>
      <c r="AX20" s="314"/>
      <c r="AY20" s="314"/>
      <c r="AZ20" s="314"/>
      <c r="BA20" s="314"/>
      <c r="BB20" s="314"/>
      <c r="BC20" s="314"/>
      <c r="BD20" s="314"/>
      <c r="BE20" s="314"/>
      <c r="BF20" s="314"/>
      <c r="BG20" s="314"/>
      <c r="BH20" s="314"/>
      <c r="BI20" s="314"/>
      <c r="BJ20" s="314"/>
      <c r="BK20" s="314"/>
      <c r="BL20" s="314"/>
      <c r="CT20" s="286"/>
    </row>
    <row r="21" spans="1:218" ht="24.6" customHeight="1">
      <c r="A21" s="10"/>
      <c r="B21" s="285"/>
      <c r="C21" s="346"/>
      <c r="D21" s="347"/>
      <c r="E21" s="347"/>
      <c r="F21" s="347"/>
      <c r="G21" s="347"/>
      <c r="H21" s="347"/>
      <c r="I21" s="348"/>
      <c r="J21" s="289"/>
      <c r="K21" s="364"/>
      <c r="L21" s="365"/>
      <c r="M21" s="308"/>
      <c r="N21" s="335"/>
      <c r="O21" s="345"/>
      <c r="P21" s="335"/>
      <c r="Q21" s="345"/>
      <c r="R21" s="335"/>
      <c r="S21" s="335"/>
      <c r="T21" s="335"/>
      <c r="U21" s="336"/>
      <c r="V21" s="337"/>
      <c r="W21" s="315"/>
      <c r="X21" s="315"/>
      <c r="Y21" s="315"/>
      <c r="Z21" s="315"/>
      <c r="AA21" s="315"/>
      <c r="AB21" s="315"/>
      <c r="AC21" s="315"/>
      <c r="AD21" s="315"/>
      <c r="AE21" s="315"/>
      <c r="AF21" s="315"/>
      <c r="AG21" s="315"/>
      <c r="AH21" s="315"/>
      <c r="AI21" s="315"/>
      <c r="AJ21" s="315"/>
      <c r="AK21" s="315"/>
      <c r="AL21" s="315"/>
      <c r="AM21" s="315"/>
      <c r="AN21" s="315"/>
      <c r="AO21" s="315"/>
      <c r="AP21" s="315"/>
      <c r="AQ21" s="315"/>
      <c r="AR21" s="315"/>
      <c r="AS21" s="315"/>
      <c r="AT21" s="315"/>
      <c r="AU21" s="315"/>
      <c r="AV21" s="315"/>
      <c r="AW21" s="315"/>
      <c r="AX21" s="315"/>
      <c r="AY21" s="315"/>
      <c r="AZ21" s="315"/>
      <c r="BA21" s="315"/>
      <c r="BB21" s="315"/>
      <c r="BC21" s="315"/>
      <c r="BD21" s="315"/>
      <c r="BE21" s="315"/>
      <c r="BF21" s="315"/>
      <c r="BG21" s="315"/>
      <c r="BH21" s="315"/>
      <c r="BI21" s="315"/>
      <c r="BJ21" s="315"/>
      <c r="BK21" s="315"/>
      <c r="BL21" s="315"/>
      <c r="BM21" s="274"/>
      <c r="BN21" s="274"/>
      <c r="BO21" s="274"/>
      <c r="BP21" s="274"/>
      <c r="BQ21" s="274"/>
      <c r="BR21" s="274"/>
      <c r="BS21" s="274"/>
      <c r="BT21" s="274"/>
      <c r="BU21" s="274"/>
      <c r="BV21" s="274"/>
      <c r="BW21" s="274"/>
      <c r="BX21" s="274"/>
      <c r="BY21" s="274"/>
      <c r="BZ21" s="274"/>
      <c r="CA21" s="274"/>
      <c r="CB21" s="274"/>
      <c r="CC21" s="274"/>
      <c r="CD21" s="274"/>
      <c r="CE21" s="274"/>
      <c r="CF21" s="274"/>
      <c r="CG21" s="274"/>
      <c r="CH21" s="274"/>
      <c r="CI21" s="274"/>
      <c r="CJ21" s="274"/>
      <c r="CK21" s="274"/>
      <c r="CL21" s="274"/>
      <c r="CM21" s="274"/>
      <c r="CN21" s="274"/>
      <c r="CO21" s="274"/>
      <c r="CP21" s="274"/>
      <c r="CQ21" s="274"/>
      <c r="CR21" s="274"/>
      <c r="CS21" s="274"/>
      <c r="CT21" s="274"/>
      <c r="CU21" s="274"/>
      <c r="CV21" s="274"/>
      <c r="CW21" s="274"/>
      <c r="CX21" s="274"/>
      <c r="CY21" s="274"/>
      <c r="CZ21" s="274"/>
      <c r="DA21" s="274"/>
      <c r="DB21" s="274"/>
      <c r="DC21" s="274"/>
      <c r="DD21" s="274"/>
      <c r="DE21" s="274"/>
      <c r="DF21" s="274"/>
      <c r="DG21" s="274"/>
      <c r="DH21" s="274"/>
      <c r="DI21" s="274"/>
      <c r="DJ21" s="274"/>
      <c r="DK21" s="274"/>
      <c r="DL21" s="274"/>
      <c r="DM21" s="274"/>
      <c r="DN21" s="274"/>
      <c r="DO21" s="274"/>
      <c r="DP21" s="274"/>
      <c r="DQ21" s="274"/>
      <c r="DR21" s="274"/>
      <c r="DS21" s="274"/>
      <c r="DT21" s="274"/>
      <c r="DU21" s="274"/>
      <c r="DV21" s="274"/>
      <c r="DW21" s="274"/>
      <c r="DX21" s="274"/>
      <c r="DY21" s="274"/>
      <c r="DZ21" s="274"/>
      <c r="EA21" s="274"/>
      <c r="EB21" s="274"/>
      <c r="EC21" s="274"/>
      <c r="ED21" s="274"/>
      <c r="EE21" s="274"/>
      <c r="EF21" s="274"/>
      <c r="EG21" s="274"/>
      <c r="EH21" s="274"/>
      <c r="EI21" s="274"/>
      <c r="EJ21" s="274"/>
      <c r="EK21" s="274"/>
      <c r="EL21" s="274"/>
      <c r="EM21" s="274"/>
      <c r="EN21" s="274"/>
      <c r="EO21" s="274"/>
      <c r="EP21" s="274"/>
      <c r="EQ21" s="274"/>
      <c r="ER21" s="274"/>
      <c r="ES21" s="274"/>
      <c r="ET21" s="274"/>
      <c r="EU21" s="274"/>
      <c r="EV21" s="274"/>
      <c r="EW21" s="274"/>
      <c r="EX21" s="274"/>
      <c r="EY21" s="274"/>
      <c r="EZ21" s="274"/>
      <c r="FA21" s="274"/>
      <c r="FB21" s="274"/>
      <c r="FC21" s="274"/>
      <c r="FD21" s="274"/>
      <c r="FE21" s="274"/>
      <c r="FF21" s="274"/>
      <c r="FG21" s="274"/>
      <c r="FH21" s="274"/>
      <c r="FI21" s="274"/>
      <c r="FJ21" s="274"/>
      <c r="FK21" s="274"/>
      <c r="FL21" s="274"/>
      <c r="FM21" s="274"/>
      <c r="FN21" s="274"/>
      <c r="FO21" s="274"/>
      <c r="FP21" s="274"/>
      <c r="FQ21" s="274"/>
      <c r="FR21" s="274"/>
      <c r="FS21" s="274"/>
      <c r="FT21" s="274"/>
      <c r="FU21" s="274"/>
      <c r="FV21" s="274"/>
      <c r="FW21" s="274"/>
      <c r="FX21" s="274"/>
      <c r="FY21" s="274"/>
      <c r="FZ21" s="274"/>
      <c r="GA21" s="274"/>
      <c r="GB21" s="274"/>
      <c r="GC21" s="274"/>
      <c r="GD21" s="274"/>
      <c r="GE21" s="274"/>
      <c r="GF21" s="274"/>
      <c r="GG21" s="274"/>
      <c r="GH21" s="274"/>
      <c r="GI21" s="274"/>
      <c r="GJ21" s="274"/>
      <c r="GK21" s="274"/>
      <c r="GL21" s="274"/>
      <c r="GM21" s="274"/>
      <c r="GN21" s="274"/>
      <c r="GO21" s="274"/>
      <c r="GP21" s="274"/>
      <c r="GQ21" s="274"/>
      <c r="GR21" s="274"/>
      <c r="GS21" s="274"/>
      <c r="GT21" s="274"/>
      <c r="GU21" s="274"/>
      <c r="GV21" s="274"/>
      <c r="GW21" s="274"/>
      <c r="GX21" s="274"/>
      <c r="GY21" s="274"/>
      <c r="GZ21" s="274"/>
      <c r="HA21" s="274"/>
      <c r="HB21" s="274"/>
      <c r="HC21" s="274"/>
      <c r="HD21" s="274"/>
      <c r="HE21" s="274"/>
      <c r="HF21" s="274"/>
      <c r="HG21" s="274"/>
      <c r="HH21" s="274"/>
      <c r="HI21" s="274"/>
      <c r="HJ21" s="274"/>
    </row>
    <row r="22" spans="1:218" s="12" customFormat="1" ht="25.15" customHeight="1">
      <c r="A22" s="10"/>
      <c r="B22" s="285"/>
      <c r="C22" s="346"/>
      <c r="D22" s="347"/>
      <c r="E22" s="347"/>
      <c r="F22" s="347"/>
      <c r="G22" s="347"/>
      <c r="H22" s="347"/>
      <c r="I22" s="348"/>
      <c r="J22" s="289"/>
      <c r="K22" s="364"/>
      <c r="L22" s="365"/>
      <c r="M22" s="308"/>
      <c r="N22" s="335"/>
      <c r="O22" s="345"/>
      <c r="P22" s="335"/>
      <c r="Q22" s="345"/>
      <c r="R22" s="335"/>
      <c r="S22" s="335"/>
      <c r="T22" s="335"/>
      <c r="U22" s="336"/>
      <c r="V22" s="337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/>
      <c r="BC22" s="172"/>
      <c r="BD22" s="172"/>
      <c r="BE22" s="172"/>
      <c r="BF22" s="172"/>
      <c r="BG22" s="172"/>
      <c r="BH22" s="172"/>
      <c r="BI22" s="172"/>
      <c r="BJ22" s="172"/>
      <c r="BK22" s="172"/>
      <c r="BL22" s="172"/>
    </row>
    <row r="23" spans="1:218" s="12" customFormat="1" ht="27" customHeight="1">
      <c r="A23" s="10"/>
      <c r="B23" s="285"/>
      <c r="C23" s="346"/>
      <c r="D23" s="347"/>
      <c r="E23" s="347"/>
      <c r="F23" s="347"/>
      <c r="G23" s="347"/>
      <c r="H23" s="347"/>
      <c r="I23" s="348"/>
      <c r="J23" s="289"/>
      <c r="K23" s="364"/>
      <c r="L23" s="365"/>
      <c r="M23" s="308"/>
      <c r="N23" s="335"/>
      <c r="O23" s="345"/>
      <c r="P23" s="335"/>
      <c r="Q23" s="345"/>
      <c r="R23" s="335"/>
      <c r="S23" s="335"/>
      <c r="T23" s="335"/>
      <c r="U23" s="336"/>
      <c r="V23" s="337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/>
      <c r="BC23" s="172"/>
      <c r="BD23" s="172"/>
      <c r="BE23" s="172"/>
      <c r="BF23" s="172"/>
      <c r="BG23" s="172"/>
      <c r="BH23" s="172"/>
      <c r="BI23" s="172"/>
      <c r="BJ23" s="172"/>
      <c r="BK23" s="172"/>
      <c r="BL23" s="172"/>
    </row>
    <row r="24" spans="1:218" ht="28.5" customHeight="1">
      <c r="A24" s="10"/>
      <c r="B24" s="285"/>
      <c r="C24" s="346"/>
      <c r="D24" s="347"/>
      <c r="E24" s="347"/>
      <c r="F24" s="347"/>
      <c r="G24" s="347"/>
      <c r="H24" s="347"/>
      <c r="I24" s="348"/>
      <c r="J24" s="289"/>
      <c r="K24" s="364"/>
      <c r="L24" s="365"/>
      <c r="M24" s="308"/>
      <c r="N24" s="335"/>
      <c r="O24" s="345"/>
      <c r="P24" s="335"/>
      <c r="Q24" s="345"/>
      <c r="R24" s="335"/>
      <c r="S24" s="335"/>
      <c r="T24" s="335"/>
      <c r="U24" s="338"/>
      <c r="V24" s="337"/>
      <c r="W24" s="315"/>
      <c r="X24" s="315"/>
      <c r="Y24" s="315"/>
      <c r="Z24" s="315"/>
      <c r="AA24" s="315"/>
      <c r="AB24" s="315"/>
      <c r="AC24" s="315"/>
      <c r="AD24" s="315"/>
      <c r="AE24" s="315"/>
      <c r="AF24" s="315"/>
      <c r="AG24" s="315"/>
      <c r="AH24" s="315"/>
      <c r="AI24" s="315"/>
      <c r="AJ24" s="315"/>
      <c r="AK24" s="315"/>
      <c r="AL24" s="315"/>
      <c r="AM24" s="315"/>
      <c r="AN24" s="315"/>
      <c r="AO24" s="315"/>
      <c r="AP24" s="315"/>
      <c r="AQ24" s="315"/>
      <c r="AR24" s="315"/>
      <c r="AS24" s="315"/>
      <c r="AT24" s="315"/>
      <c r="AU24" s="315"/>
      <c r="AV24" s="315"/>
      <c r="AW24" s="315"/>
      <c r="AX24" s="315"/>
      <c r="AY24" s="315"/>
      <c r="AZ24" s="315"/>
      <c r="BA24" s="315"/>
      <c r="BB24" s="315"/>
      <c r="BC24" s="315"/>
      <c r="BD24" s="315"/>
      <c r="BE24" s="315"/>
      <c r="BF24" s="315"/>
      <c r="BG24" s="315"/>
      <c r="BH24" s="315"/>
      <c r="BI24" s="315"/>
      <c r="BJ24" s="315"/>
      <c r="BK24" s="315"/>
      <c r="BL24" s="315"/>
      <c r="BM24" s="274"/>
      <c r="BN24" s="274"/>
      <c r="BO24" s="274"/>
      <c r="BP24" s="274"/>
      <c r="BQ24" s="274"/>
      <c r="BR24" s="274"/>
      <c r="BS24" s="274"/>
      <c r="BT24" s="274"/>
      <c r="BU24" s="274"/>
      <c r="BV24" s="274"/>
      <c r="BW24" s="274"/>
      <c r="BX24" s="274"/>
      <c r="BY24" s="274"/>
      <c r="BZ24" s="274"/>
      <c r="CA24" s="274"/>
      <c r="CB24" s="274"/>
      <c r="CC24" s="274"/>
      <c r="CD24" s="274"/>
      <c r="CE24" s="274"/>
      <c r="CF24" s="274"/>
      <c r="CG24" s="274"/>
      <c r="CH24" s="274"/>
      <c r="CI24" s="274"/>
      <c r="CJ24" s="274"/>
      <c r="CK24" s="274"/>
      <c r="CL24" s="274"/>
      <c r="CM24" s="274"/>
      <c r="CN24" s="274"/>
      <c r="CO24" s="274"/>
      <c r="CP24" s="274"/>
      <c r="CQ24" s="274"/>
      <c r="CR24" s="274"/>
      <c r="CS24" s="274"/>
      <c r="CT24" s="274"/>
      <c r="CU24" s="274"/>
      <c r="CV24" s="274"/>
      <c r="CW24" s="274"/>
      <c r="CX24" s="274"/>
      <c r="CY24" s="274"/>
      <c r="CZ24" s="274"/>
      <c r="DA24" s="274"/>
      <c r="DB24" s="274"/>
      <c r="DC24" s="274"/>
      <c r="DD24" s="274"/>
      <c r="DE24" s="274"/>
      <c r="DF24" s="274"/>
      <c r="DG24" s="274"/>
      <c r="DH24" s="274"/>
      <c r="DI24" s="274"/>
      <c r="DJ24" s="274"/>
      <c r="DK24" s="274"/>
      <c r="DL24" s="274"/>
      <c r="DM24" s="274"/>
      <c r="DN24" s="274"/>
      <c r="DO24" s="274"/>
      <c r="DP24" s="274"/>
      <c r="DQ24" s="274"/>
      <c r="DR24" s="274"/>
      <c r="DS24" s="274"/>
      <c r="DT24" s="274"/>
      <c r="DU24" s="274"/>
      <c r="DV24" s="274"/>
      <c r="DW24" s="274"/>
      <c r="DX24" s="274"/>
      <c r="DY24" s="274"/>
      <c r="DZ24" s="274"/>
      <c r="EA24" s="274"/>
      <c r="EB24" s="274"/>
      <c r="EC24" s="274"/>
      <c r="ED24" s="274"/>
      <c r="EE24" s="274"/>
      <c r="EF24" s="274"/>
      <c r="EG24" s="274"/>
      <c r="EH24" s="274"/>
      <c r="EI24" s="274"/>
      <c r="EJ24" s="274"/>
      <c r="EK24" s="274"/>
      <c r="EL24" s="274"/>
      <c r="EM24" s="274"/>
      <c r="EN24" s="274"/>
      <c r="EO24" s="274"/>
      <c r="EP24" s="274"/>
      <c r="EQ24" s="274"/>
      <c r="ER24" s="274"/>
      <c r="ES24" s="274"/>
      <c r="ET24" s="274"/>
      <c r="EU24" s="274"/>
      <c r="EV24" s="274"/>
      <c r="EW24" s="274"/>
      <c r="EX24" s="274"/>
      <c r="EY24" s="274"/>
      <c r="EZ24" s="274"/>
      <c r="FA24" s="274"/>
      <c r="FB24" s="274"/>
      <c r="FC24" s="274"/>
      <c r="FD24" s="274"/>
      <c r="FE24" s="274"/>
      <c r="FF24" s="274"/>
      <c r="FG24" s="274"/>
      <c r="FH24" s="274"/>
      <c r="FI24" s="274"/>
      <c r="FJ24" s="274"/>
      <c r="FK24" s="274"/>
      <c r="FL24" s="274"/>
      <c r="FM24" s="274"/>
      <c r="FN24" s="274"/>
      <c r="FO24" s="274"/>
      <c r="FP24" s="274"/>
      <c r="FQ24" s="274"/>
      <c r="FR24" s="274"/>
      <c r="FS24" s="274"/>
      <c r="FT24" s="274"/>
      <c r="FU24" s="274"/>
      <c r="FV24" s="274"/>
      <c r="FW24" s="274"/>
      <c r="FX24" s="274"/>
      <c r="FY24" s="274"/>
      <c r="FZ24" s="274"/>
      <c r="GA24" s="274"/>
      <c r="GB24" s="274"/>
      <c r="GC24" s="274"/>
      <c r="GD24" s="274"/>
      <c r="GE24" s="274"/>
      <c r="GF24" s="274"/>
      <c r="GG24" s="274"/>
      <c r="GH24" s="274"/>
      <c r="GI24" s="274"/>
      <c r="GJ24" s="274"/>
      <c r="GK24" s="274"/>
      <c r="GL24" s="274"/>
      <c r="GM24" s="274"/>
      <c r="GN24" s="274"/>
      <c r="GO24" s="274"/>
      <c r="GP24" s="274"/>
      <c r="GQ24" s="274"/>
      <c r="GR24" s="274"/>
      <c r="GS24" s="274"/>
      <c r="GT24" s="274"/>
      <c r="GU24" s="274"/>
      <c r="GV24" s="274"/>
      <c r="GW24" s="274"/>
      <c r="GX24" s="274"/>
      <c r="GY24" s="274"/>
      <c r="GZ24" s="274"/>
      <c r="HA24" s="274"/>
      <c r="HB24" s="274"/>
      <c r="HC24" s="274"/>
      <c r="HD24" s="274"/>
      <c r="HE24" s="274"/>
      <c r="HF24" s="274"/>
      <c r="HG24" s="274"/>
      <c r="HH24" s="274"/>
      <c r="HI24" s="274"/>
      <c r="HJ24" s="274"/>
    </row>
    <row r="25" spans="1:218" ht="28.5" customHeight="1">
      <c r="A25" s="10"/>
      <c r="B25" s="285"/>
      <c r="C25" s="346"/>
      <c r="D25" s="347"/>
      <c r="E25" s="347"/>
      <c r="F25" s="347"/>
      <c r="G25" s="347"/>
      <c r="H25" s="347"/>
      <c r="I25" s="348"/>
      <c r="J25" s="289"/>
      <c r="K25" s="364"/>
      <c r="L25" s="365"/>
      <c r="M25" s="308"/>
      <c r="N25" s="335"/>
      <c r="O25" s="345"/>
      <c r="P25" s="335"/>
      <c r="Q25" s="345"/>
      <c r="R25" s="335"/>
      <c r="S25" s="335"/>
      <c r="T25" s="335"/>
      <c r="U25" s="338"/>
      <c r="V25" s="337"/>
      <c r="W25" s="315"/>
      <c r="X25" s="315"/>
      <c r="Y25" s="315"/>
      <c r="Z25" s="315"/>
      <c r="AA25" s="315"/>
      <c r="AB25" s="315"/>
      <c r="AC25" s="315"/>
      <c r="AD25" s="315"/>
      <c r="AE25" s="315"/>
      <c r="AF25" s="315"/>
      <c r="AG25" s="315"/>
      <c r="AH25" s="315"/>
      <c r="AI25" s="315"/>
      <c r="AJ25" s="315"/>
      <c r="AK25" s="315"/>
      <c r="AL25" s="315"/>
      <c r="AM25" s="315"/>
      <c r="AN25" s="315"/>
      <c r="AO25" s="315"/>
      <c r="AP25" s="315"/>
      <c r="AQ25" s="315"/>
      <c r="AR25" s="315"/>
      <c r="AS25" s="315"/>
      <c r="AT25" s="315"/>
      <c r="AU25" s="315"/>
      <c r="AV25" s="315"/>
      <c r="AW25" s="315"/>
      <c r="AX25" s="315"/>
      <c r="AY25" s="315"/>
      <c r="AZ25" s="315"/>
      <c r="BA25" s="315"/>
      <c r="BB25" s="315"/>
      <c r="BC25" s="315"/>
      <c r="BD25" s="315"/>
      <c r="BE25" s="315"/>
      <c r="BF25" s="315"/>
      <c r="BG25" s="315"/>
      <c r="BH25" s="315"/>
      <c r="BI25" s="315"/>
      <c r="BJ25" s="315"/>
      <c r="BK25" s="315"/>
      <c r="BL25" s="315"/>
      <c r="BM25" s="274"/>
      <c r="BN25" s="274"/>
      <c r="BO25" s="274"/>
      <c r="BP25" s="274"/>
      <c r="BQ25" s="274"/>
      <c r="BR25" s="274"/>
      <c r="BS25" s="274"/>
      <c r="BT25" s="274"/>
      <c r="BU25" s="274"/>
      <c r="BV25" s="274"/>
      <c r="BW25" s="274"/>
      <c r="BX25" s="274"/>
      <c r="BY25" s="274"/>
      <c r="BZ25" s="274"/>
      <c r="CA25" s="274"/>
      <c r="CB25" s="274"/>
      <c r="CC25" s="274"/>
      <c r="CD25" s="274"/>
      <c r="CE25" s="274"/>
      <c r="CF25" s="274"/>
      <c r="CG25" s="274"/>
      <c r="CH25" s="274"/>
      <c r="CI25" s="274"/>
      <c r="CJ25" s="274"/>
      <c r="CK25" s="274"/>
      <c r="CL25" s="274"/>
      <c r="CM25" s="274"/>
      <c r="CN25" s="274"/>
      <c r="CO25" s="274"/>
      <c r="CP25" s="274"/>
      <c r="CQ25" s="274"/>
      <c r="CR25" s="274"/>
      <c r="CS25" s="274"/>
      <c r="CT25" s="274"/>
      <c r="CU25" s="274"/>
      <c r="CV25" s="274"/>
      <c r="CW25" s="274"/>
      <c r="CX25" s="274"/>
      <c r="CY25" s="274"/>
      <c r="CZ25" s="274"/>
      <c r="DA25" s="274"/>
      <c r="DB25" s="274"/>
      <c r="DC25" s="274"/>
      <c r="DD25" s="274"/>
      <c r="DE25" s="274"/>
      <c r="DF25" s="274"/>
      <c r="DG25" s="274"/>
      <c r="DH25" s="274"/>
      <c r="DI25" s="274"/>
      <c r="DJ25" s="274"/>
      <c r="DK25" s="274"/>
      <c r="DL25" s="274"/>
      <c r="DM25" s="274"/>
      <c r="DN25" s="274"/>
      <c r="DO25" s="274"/>
      <c r="DP25" s="274"/>
      <c r="DQ25" s="274"/>
      <c r="DR25" s="274"/>
      <c r="DS25" s="274"/>
      <c r="DT25" s="274"/>
      <c r="DU25" s="274"/>
      <c r="DV25" s="274"/>
      <c r="DW25" s="274"/>
      <c r="DX25" s="274"/>
      <c r="DY25" s="274"/>
      <c r="DZ25" s="274"/>
      <c r="EA25" s="274"/>
      <c r="EB25" s="274"/>
      <c r="EC25" s="274"/>
      <c r="ED25" s="274"/>
      <c r="EE25" s="274"/>
      <c r="EF25" s="274"/>
      <c r="EG25" s="274"/>
      <c r="EH25" s="274"/>
      <c r="EI25" s="274"/>
      <c r="EJ25" s="274"/>
      <c r="EK25" s="274"/>
      <c r="EL25" s="274"/>
      <c r="EM25" s="274"/>
      <c r="EN25" s="274"/>
      <c r="EO25" s="274"/>
      <c r="EP25" s="274"/>
      <c r="EQ25" s="274"/>
      <c r="ER25" s="274"/>
      <c r="ES25" s="274"/>
      <c r="ET25" s="274"/>
      <c r="EU25" s="274"/>
      <c r="EV25" s="274"/>
      <c r="EW25" s="274"/>
      <c r="EX25" s="274"/>
      <c r="EY25" s="274"/>
      <c r="EZ25" s="274"/>
      <c r="FA25" s="274"/>
      <c r="FB25" s="274"/>
      <c r="FC25" s="274"/>
      <c r="FD25" s="274"/>
      <c r="FE25" s="274"/>
      <c r="FF25" s="274"/>
      <c r="FG25" s="274"/>
      <c r="FH25" s="274"/>
      <c r="FI25" s="274"/>
      <c r="FJ25" s="274"/>
      <c r="FK25" s="274"/>
      <c r="FL25" s="274"/>
      <c r="FM25" s="274"/>
      <c r="FN25" s="274"/>
      <c r="FO25" s="274"/>
      <c r="FP25" s="274"/>
      <c r="FQ25" s="274"/>
      <c r="FR25" s="274"/>
      <c r="FS25" s="274"/>
      <c r="FT25" s="274"/>
      <c r="FU25" s="274"/>
      <c r="FV25" s="274"/>
      <c r="FW25" s="274"/>
      <c r="FX25" s="274"/>
      <c r="FY25" s="274"/>
      <c r="FZ25" s="274"/>
      <c r="GA25" s="274"/>
      <c r="GB25" s="274"/>
      <c r="GC25" s="274"/>
      <c r="GD25" s="274"/>
      <c r="GE25" s="274"/>
      <c r="GF25" s="274"/>
      <c r="GG25" s="274"/>
      <c r="GH25" s="274"/>
      <c r="GI25" s="274"/>
      <c r="GJ25" s="274"/>
      <c r="GK25" s="274"/>
      <c r="GL25" s="274"/>
      <c r="GM25" s="274"/>
      <c r="GN25" s="274"/>
      <c r="GO25" s="274"/>
      <c r="GP25" s="274"/>
      <c r="GQ25" s="274"/>
      <c r="GR25" s="274"/>
      <c r="GS25" s="274"/>
      <c r="GT25" s="274"/>
      <c r="GU25" s="274"/>
      <c r="GV25" s="274"/>
      <c r="GW25" s="274"/>
      <c r="GX25" s="274"/>
      <c r="GY25" s="274"/>
      <c r="GZ25" s="274"/>
      <c r="HA25" s="274"/>
      <c r="HB25" s="274"/>
      <c r="HC25" s="274"/>
      <c r="HD25" s="274"/>
      <c r="HE25" s="274"/>
      <c r="HF25" s="274"/>
      <c r="HG25" s="274"/>
      <c r="HH25" s="274"/>
      <c r="HI25" s="274"/>
      <c r="HJ25" s="274"/>
    </row>
    <row r="26" spans="1:218" ht="24.6" customHeight="1">
      <c r="A26" s="10"/>
      <c r="B26" s="285"/>
      <c r="C26" s="346"/>
      <c r="D26" s="347"/>
      <c r="E26" s="347"/>
      <c r="F26" s="347"/>
      <c r="G26" s="347"/>
      <c r="H26" s="347"/>
      <c r="I26" s="348"/>
      <c r="J26" s="289"/>
      <c r="K26" s="364"/>
      <c r="L26" s="365"/>
      <c r="M26" s="308"/>
      <c r="N26" s="335"/>
      <c r="O26" s="345"/>
      <c r="P26" s="335"/>
      <c r="Q26" s="345"/>
      <c r="R26" s="335"/>
      <c r="S26" s="335"/>
      <c r="T26" s="335"/>
      <c r="U26" s="344"/>
      <c r="V26" s="337"/>
      <c r="W26" s="315"/>
      <c r="X26" s="315"/>
      <c r="Y26" s="315"/>
      <c r="Z26" s="315"/>
      <c r="AA26" s="315"/>
      <c r="AB26" s="315"/>
      <c r="AC26" s="315"/>
      <c r="AD26" s="315"/>
      <c r="AE26" s="315"/>
      <c r="AF26" s="315"/>
      <c r="AG26" s="315"/>
      <c r="AH26" s="315"/>
      <c r="AI26" s="315"/>
      <c r="AJ26" s="315"/>
      <c r="AK26" s="315"/>
      <c r="AL26" s="315"/>
      <c r="AM26" s="315"/>
      <c r="AN26" s="315"/>
      <c r="AO26" s="315"/>
      <c r="AP26" s="315"/>
      <c r="AQ26" s="315"/>
      <c r="AR26" s="315"/>
      <c r="AS26" s="315"/>
      <c r="AT26" s="315"/>
      <c r="AU26" s="315"/>
      <c r="AV26" s="315"/>
      <c r="AW26" s="315"/>
      <c r="AX26" s="315"/>
      <c r="AY26" s="315"/>
      <c r="AZ26" s="315"/>
      <c r="BA26" s="315"/>
      <c r="BB26" s="315"/>
      <c r="BC26" s="315"/>
      <c r="BD26" s="315"/>
      <c r="BE26" s="315"/>
      <c r="BF26" s="315"/>
      <c r="BG26" s="315"/>
      <c r="BH26" s="315"/>
      <c r="BI26" s="315"/>
      <c r="BJ26" s="315"/>
      <c r="BK26" s="315"/>
      <c r="BL26" s="315"/>
      <c r="BM26" s="274"/>
      <c r="BN26" s="274"/>
      <c r="BO26" s="274"/>
      <c r="BP26" s="274"/>
      <c r="BQ26" s="274"/>
      <c r="BR26" s="274"/>
      <c r="BS26" s="274"/>
      <c r="BT26" s="274"/>
      <c r="BU26" s="274"/>
      <c r="BV26" s="274"/>
      <c r="BW26" s="274"/>
      <c r="BX26" s="274"/>
      <c r="BY26" s="274"/>
      <c r="BZ26" s="274"/>
      <c r="CA26" s="274"/>
      <c r="CB26" s="274"/>
      <c r="CC26" s="274"/>
      <c r="CD26" s="274"/>
      <c r="CE26" s="274"/>
      <c r="CF26" s="274"/>
      <c r="CG26" s="274"/>
      <c r="CH26" s="274"/>
      <c r="CI26" s="274"/>
      <c r="CJ26" s="274"/>
      <c r="CK26" s="274"/>
      <c r="CL26" s="274"/>
      <c r="CM26" s="274"/>
      <c r="CN26" s="274"/>
      <c r="CO26" s="274"/>
      <c r="CP26" s="274"/>
      <c r="CQ26" s="274"/>
      <c r="CR26" s="274"/>
      <c r="CS26" s="274"/>
      <c r="CT26" s="274"/>
      <c r="CU26" s="274"/>
      <c r="CV26" s="274"/>
      <c r="CW26" s="274"/>
      <c r="CX26" s="274"/>
      <c r="CY26" s="274"/>
      <c r="CZ26" s="274"/>
      <c r="DA26" s="274"/>
      <c r="DB26" s="274"/>
      <c r="DC26" s="274"/>
      <c r="DD26" s="274"/>
      <c r="DE26" s="274"/>
      <c r="DF26" s="274"/>
      <c r="DG26" s="274"/>
      <c r="DH26" s="274"/>
      <c r="DI26" s="274"/>
      <c r="DJ26" s="274"/>
      <c r="DK26" s="274"/>
      <c r="DL26" s="274"/>
      <c r="DM26" s="274"/>
      <c r="DN26" s="274"/>
      <c r="DO26" s="274"/>
      <c r="DP26" s="274"/>
      <c r="DQ26" s="274"/>
      <c r="DR26" s="274"/>
      <c r="DS26" s="274"/>
      <c r="DT26" s="274"/>
      <c r="DU26" s="274"/>
      <c r="DV26" s="274"/>
      <c r="DW26" s="274"/>
      <c r="DX26" s="274"/>
      <c r="DY26" s="274"/>
      <c r="DZ26" s="274"/>
      <c r="EA26" s="274"/>
      <c r="EB26" s="274"/>
      <c r="EC26" s="274"/>
      <c r="ED26" s="274"/>
      <c r="EE26" s="274"/>
      <c r="EF26" s="274"/>
      <c r="EG26" s="274"/>
      <c r="EH26" s="274"/>
      <c r="EI26" s="274"/>
      <c r="EJ26" s="274"/>
      <c r="EK26" s="274"/>
      <c r="EL26" s="274"/>
      <c r="EM26" s="274"/>
      <c r="EN26" s="274"/>
      <c r="EO26" s="274"/>
      <c r="EP26" s="274"/>
      <c r="EQ26" s="274"/>
      <c r="ER26" s="274"/>
      <c r="ES26" s="274"/>
      <c r="ET26" s="274"/>
      <c r="EU26" s="274"/>
      <c r="EV26" s="274"/>
      <c r="EW26" s="274"/>
      <c r="EX26" s="274"/>
      <c r="EY26" s="274"/>
      <c r="EZ26" s="274"/>
      <c r="FA26" s="274"/>
      <c r="FB26" s="274"/>
      <c r="FC26" s="274"/>
      <c r="FD26" s="274"/>
      <c r="FE26" s="274"/>
      <c r="FF26" s="274"/>
      <c r="FG26" s="274"/>
      <c r="FH26" s="274"/>
      <c r="FI26" s="274"/>
      <c r="FJ26" s="274"/>
      <c r="FK26" s="274"/>
      <c r="FL26" s="274"/>
      <c r="FM26" s="274"/>
      <c r="FN26" s="274"/>
      <c r="FO26" s="274"/>
      <c r="FP26" s="274"/>
      <c r="FQ26" s="274"/>
      <c r="FR26" s="274"/>
      <c r="FS26" s="274"/>
      <c r="FT26" s="274"/>
      <c r="FU26" s="274"/>
      <c r="FV26" s="274"/>
      <c r="FW26" s="274"/>
      <c r="FX26" s="274"/>
      <c r="FY26" s="274"/>
      <c r="FZ26" s="274"/>
      <c r="GA26" s="274"/>
      <c r="GB26" s="274"/>
      <c r="GC26" s="274"/>
      <c r="GD26" s="274"/>
      <c r="GE26" s="274"/>
      <c r="GF26" s="274"/>
      <c r="GG26" s="274"/>
      <c r="GH26" s="274"/>
      <c r="GI26" s="274"/>
      <c r="GJ26" s="274"/>
      <c r="GK26" s="274"/>
      <c r="GL26" s="274"/>
      <c r="GM26" s="274"/>
      <c r="GN26" s="274"/>
      <c r="GO26" s="274"/>
      <c r="GP26" s="274"/>
      <c r="GQ26" s="274"/>
      <c r="GR26" s="274"/>
      <c r="GS26" s="274"/>
      <c r="GT26" s="274"/>
      <c r="GU26" s="274"/>
      <c r="GV26" s="274"/>
      <c r="GW26" s="274"/>
      <c r="GX26" s="274"/>
      <c r="GY26" s="274"/>
      <c r="GZ26" s="274"/>
      <c r="HA26" s="274"/>
      <c r="HB26" s="274"/>
      <c r="HC26" s="274"/>
      <c r="HD26" s="274"/>
      <c r="HE26" s="274"/>
      <c r="HF26" s="274"/>
      <c r="HG26" s="274"/>
      <c r="HH26" s="274"/>
      <c r="HI26" s="274"/>
      <c r="HJ26" s="274"/>
    </row>
    <row r="27" spans="1:218" ht="24.6" customHeight="1">
      <c r="A27" s="10"/>
      <c r="B27" s="285"/>
      <c r="C27" s="346"/>
      <c r="D27" s="347"/>
      <c r="E27" s="347"/>
      <c r="F27" s="347"/>
      <c r="G27" s="347"/>
      <c r="H27" s="347"/>
      <c r="I27" s="348"/>
      <c r="J27" s="289"/>
      <c r="K27" s="364"/>
      <c r="L27" s="365"/>
      <c r="M27" s="308"/>
      <c r="N27" s="335"/>
      <c r="O27" s="345"/>
      <c r="P27" s="335"/>
      <c r="Q27" s="345"/>
      <c r="R27" s="335"/>
      <c r="S27" s="335"/>
      <c r="T27" s="335"/>
      <c r="U27" s="336"/>
      <c r="V27" s="337"/>
      <c r="W27" s="315"/>
      <c r="X27" s="315"/>
      <c r="Y27" s="315"/>
      <c r="Z27" s="315"/>
      <c r="AA27" s="315"/>
      <c r="AB27" s="315"/>
      <c r="AC27" s="315"/>
      <c r="AD27" s="315"/>
      <c r="AE27" s="315"/>
      <c r="AF27" s="315"/>
      <c r="AG27" s="315"/>
      <c r="AH27" s="315"/>
      <c r="AI27" s="315"/>
      <c r="AJ27" s="315"/>
      <c r="AK27" s="315"/>
      <c r="AL27" s="315"/>
      <c r="AM27" s="315"/>
      <c r="AN27" s="315"/>
      <c r="AO27" s="315"/>
      <c r="AP27" s="315"/>
      <c r="AQ27" s="315"/>
      <c r="AR27" s="315"/>
      <c r="AS27" s="315"/>
      <c r="AT27" s="315"/>
      <c r="AU27" s="315"/>
      <c r="AV27" s="315"/>
      <c r="AW27" s="315"/>
      <c r="AX27" s="315"/>
      <c r="AY27" s="315"/>
      <c r="AZ27" s="315"/>
      <c r="BA27" s="315"/>
      <c r="BB27" s="315"/>
      <c r="BC27" s="315"/>
      <c r="BD27" s="315"/>
      <c r="BE27" s="315"/>
      <c r="BF27" s="315"/>
      <c r="BG27" s="315"/>
      <c r="BH27" s="315"/>
      <c r="BI27" s="315"/>
      <c r="BJ27" s="315"/>
      <c r="BK27" s="315"/>
      <c r="BL27" s="315"/>
      <c r="BM27" s="274"/>
      <c r="BN27" s="274"/>
      <c r="BO27" s="274"/>
      <c r="BP27" s="274"/>
      <c r="BQ27" s="274"/>
      <c r="BR27" s="274"/>
      <c r="BS27" s="274"/>
      <c r="BT27" s="274"/>
      <c r="BU27" s="274"/>
      <c r="BV27" s="274"/>
      <c r="BW27" s="274"/>
      <c r="BX27" s="274"/>
      <c r="BY27" s="274"/>
      <c r="BZ27" s="274"/>
      <c r="CA27" s="274"/>
      <c r="CB27" s="274"/>
      <c r="CC27" s="274"/>
      <c r="CD27" s="274"/>
      <c r="CE27" s="274"/>
      <c r="CF27" s="274"/>
      <c r="CG27" s="274"/>
      <c r="CH27" s="274"/>
      <c r="CI27" s="274"/>
      <c r="CJ27" s="274"/>
      <c r="CK27" s="274"/>
      <c r="CL27" s="274"/>
      <c r="CM27" s="274"/>
      <c r="CN27" s="274"/>
      <c r="CO27" s="274"/>
      <c r="CP27" s="274"/>
      <c r="CQ27" s="274"/>
      <c r="CR27" s="274"/>
      <c r="CS27" s="274"/>
      <c r="CT27" s="274"/>
      <c r="CU27" s="274"/>
      <c r="CV27" s="274"/>
      <c r="CW27" s="274"/>
      <c r="CX27" s="274"/>
      <c r="CY27" s="274"/>
      <c r="CZ27" s="274"/>
      <c r="DA27" s="274"/>
      <c r="DB27" s="274"/>
      <c r="DC27" s="274"/>
      <c r="DD27" s="274"/>
      <c r="DE27" s="274"/>
      <c r="DF27" s="274"/>
      <c r="DG27" s="274"/>
      <c r="DH27" s="274"/>
      <c r="DI27" s="274"/>
      <c r="DJ27" s="274"/>
      <c r="DK27" s="274"/>
      <c r="DL27" s="274"/>
      <c r="DM27" s="274"/>
      <c r="DN27" s="274"/>
      <c r="DO27" s="274"/>
      <c r="DP27" s="274"/>
      <c r="DQ27" s="274"/>
      <c r="DR27" s="274"/>
      <c r="DS27" s="274"/>
      <c r="DT27" s="274"/>
      <c r="DU27" s="274"/>
      <c r="DV27" s="274"/>
      <c r="DW27" s="274"/>
      <c r="DX27" s="274"/>
      <c r="DY27" s="274"/>
      <c r="DZ27" s="274"/>
      <c r="EA27" s="274"/>
      <c r="EB27" s="274"/>
      <c r="EC27" s="274"/>
      <c r="ED27" s="274"/>
      <c r="EE27" s="274"/>
      <c r="EF27" s="274"/>
      <c r="EG27" s="274"/>
      <c r="EH27" s="274"/>
      <c r="EI27" s="274"/>
      <c r="EJ27" s="274"/>
      <c r="EK27" s="274"/>
      <c r="EL27" s="274"/>
      <c r="EM27" s="274"/>
      <c r="EN27" s="274"/>
      <c r="EO27" s="274"/>
      <c r="EP27" s="274"/>
      <c r="EQ27" s="274"/>
      <c r="ER27" s="274"/>
      <c r="ES27" s="274"/>
      <c r="ET27" s="274"/>
      <c r="EU27" s="274"/>
      <c r="EV27" s="274"/>
      <c r="EW27" s="274"/>
      <c r="EX27" s="274"/>
      <c r="EY27" s="274"/>
      <c r="EZ27" s="274"/>
      <c r="FA27" s="274"/>
      <c r="FB27" s="274"/>
      <c r="FC27" s="274"/>
      <c r="FD27" s="274"/>
      <c r="FE27" s="274"/>
      <c r="FF27" s="274"/>
      <c r="FG27" s="274"/>
      <c r="FH27" s="274"/>
      <c r="FI27" s="274"/>
      <c r="FJ27" s="274"/>
      <c r="FK27" s="274"/>
      <c r="FL27" s="274"/>
      <c r="FM27" s="274"/>
      <c r="FN27" s="274"/>
      <c r="FO27" s="274"/>
      <c r="FP27" s="274"/>
      <c r="FQ27" s="274"/>
      <c r="FR27" s="274"/>
      <c r="FS27" s="274"/>
      <c r="FT27" s="274"/>
      <c r="FU27" s="274"/>
      <c r="FV27" s="274"/>
      <c r="FW27" s="274"/>
      <c r="FX27" s="274"/>
      <c r="FY27" s="274"/>
      <c r="FZ27" s="274"/>
      <c r="GA27" s="274"/>
      <c r="GB27" s="274"/>
      <c r="GC27" s="274"/>
      <c r="GD27" s="274"/>
      <c r="GE27" s="274"/>
      <c r="GF27" s="274"/>
      <c r="GG27" s="274"/>
      <c r="GH27" s="274"/>
      <c r="GI27" s="274"/>
      <c r="GJ27" s="274"/>
      <c r="GK27" s="274"/>
      <c r="GL27" s="274"/>
      <c r="GM27" s="274"/>
      <c r="GN27" s="274"/>
      <c r="GO27" s="274"/>
      <c r="GP27" s="274"/>
      <c r="GQ27" s="274"/>
      <c r="GR27" s="274"/>
      <c r="GS27" s="274"/>
      <c r="GT27" s="274"/>
      <c r="GU27" s="274"/>
      <c r="GV27" s="274"/>
      <c r="GW27" s="274"/>
      <c r="GX27" s="274"/>
      <c r="GY27" s="274"/>
      <c r="GZ27" s="274"/>
      <c r="HA27" s="274"/>
      <c r="HB27" s="274"/>
      <c r="HC27" s="274"/>
      <c r="HD27" s="274"/>
      <c r="HE27" s="274"/>
      <c r="HF27" s="274"/>
      <c r="HG27" s="274"/>
      <c r="HH27" s="274"/>
      <c r="HI27" s="274"/>
      <c r="HJ27" s="274"/>
    </row>
    <row r="28" spans="1:218" ht="24.6" customHeight="1">
      <c r="A28" s="10"/>
      <c r="B28" s="285"/>
      <c r="C28" s="346"/>
      <c r="D28" s="347"/>
      <c r="E28" s="347"/>
      <c r="F28" s="347"/>
      <c r="G28" s="347"/>
      <c r="H28" s="347"/>
      <c r="I28" s="348"/>
      <c r="J28" s="289"/>
      <c r="K28" s="364"/>
      <c r="L28" s="365"/>
      <c r="M28" s="308"/>
      <c r="N28" s="335"/>
      <c r="O28" s="345"/>
      <c r="P28" s="335"/>
      <c r="Q28" s="345"/>
      <c r="R28" s="336"/>
      <c r="S28" s="336"/>
      <c r="T28" s="336"/>
      <c r="U28" s="336"/>
      <c r="V28" s="337"/>
      <c r="W28" s="315"/>
      <c r="X28" s="315"/>
      <c r="Y28" s="315"/>
      <c r="Z28" s="315"/>
      <c r="AA28" s="315"/>
      <c r="AB28" s="315"/>
      <c r="AC28" s="315"/>
      <c r="AD28" s="315"/>
      <c r="AE28" s="315"/>
      <c r="AF28" s="315"/>
      <c r="AG28" s="315"/>
      <c r="AH28" s="315"/>
      <c r="AI28" s="315"/>
      <c r="AJ28" s="315"/>
      <c r="AK28" s="315"/>
      <c r="AL28" s="315"/>
      <c r="AM28" s="315"/>
      <c r="AN28" s="315"/>
      <c r="AO28" s="315"/>
      <c r="AP28" s="315"/>
      <c r="AQ28" s="315"/>
      <c r="AR28" s="315"/>
      <c r="AS28" s="315"/>
      <c r="AT28" s="315"/>
      <c r="AU28" s="315"/>
      <c r="AV28" s="315"/>
      <c r="AW28" s="315"/>
      <c r="AX28" s="315"/>
      <c r="AY28" s="315"/>
      <c r="AZ28" s="315"/>
      <c r="BA28" s="315"/>
      <c r="BB28" s="315"/>
      <c r="BC28" s="315"/>
      <c r="BD28" s="315"/>
      <c r="BE28" s="315"/>
      <c r="BF28" s="315"/>
      <c r="BG28" s="315"/>
      <c r="BH28" s="315"/>
      <c r="BI28" s="315"/>
      <c r="BJ28" s="315"/>
      <c r="BK28" s="315"/>
      <c r="BL28" s="315"/>
      <c r="BM28" s="274"/>
      <c r="BN28" s="274"/>
      <c r="BO28" s="274"/>
      <c r="BP28" s="274"/>
      <c r="BQ28" s="274"/>
      <c r="BR28" s="274"/>
      <c r="BS28" s="274"/>
      <c r="BT28" s="274"/>
      <c r="BU28" s="274"/>
      <c r="BV28" s="274"/>
      <c r="BW28" s="274"/>
      <c r="BX28" s="274"/>
      <c r="BY28" s="274"/>
      <c r="BZ28" s="274"/>
      <c r="CA28" s="274"/>
      <c r="CB28" s="274"/>
      <c r="CC28" s="274"/>
      <c r="CD28" s="274"/>
      <c r="CE28" s="274"/>
      <c r="CF28" s="274"/>
      <c r="CG28" s="274"/>
      <c r="CH28" s="274"/>
      <c r="CI28" s="274"/>
      <c r="CJ28" s="274"/>
      <c r="CK28" s="274"/>
      <c r="CL28" s="274"/>
      <c r="CM28" s="274"/>
      <c r="CN28" s="274"/>
      <c r="CO28" s="274"/>
      <c r="CP28" s="274"/>
      <c r="CQ28" s="274"/>
      <c r="CR28" s="274"/>
      <c r="CS28" s="274"/>
      <c r="CT28" s="274"/>
      <c r="CU28" s="274"/>
      <c r="CV28" s="274"/>
      <c r="CW28" s="274"/>
      <c r="CX28" s="274"/>
      <c r="CY28" s="274"/>
      <c r="CZ28" s="274"/>
      <c r="DA28" s="274"/>
      <c r="DB28" s="274"/>
      <c r="DC28" s="274"/>
      <c r="DD28" s="274"/>
      <c r="DE28" s="274"/>
      <c r="DF28" s="274"/>
      <c r="DG28" s="274"/>
      <c r="DH28" s="274"/>
      <c r="DI28" s="274"/>
      <c r="DJ28" s="274"/>
      <c r="DK28" s="274"/>
      <c r="DL28" s="274"/>
      <c r="DM28" s="274"/>
      <c r="DN28" s="274"/>
      <c r="DO28" s="274"/>
      <c r="DP28" s="274"/>
      <c r="DQ28" s="274"/>
      <c r="DR28" s="274"/>
      <c r="DS28" s="274"/>
      <c r="DT28" s="274"/>
      <c r="DU28" s="274"/>
      <c r="DV28" s="274"/>
      <c r="DW28" s="274"/>
      <c r="DX28" s="274"/>
      <c r="DY28" s="274"/>
      <c r="DZ28" s="274"/>
      <c r="EA28" s="274"/>
      <c r="EB28" s="274"/>
      <c r="EC28" s="274"/>
      <c r="ED28" s="274"/>
      <c r="EE28" s="274"/>
      <c r="EF28" s="274"/>
      <c r="EG28" s="274"/>
      <c r="EH28" s="274"/>
      <c r="EI28" s="274"/>
      <c r="EJ28" s="274"/>
      <c r="EK28" s="274"/>
      <c r="EL28" s="274"/>
      <c r="EM28" s="274"/>
      <c r="EN28" s="274"/>
      <c r="EO28" s="274"/>
      <c r="EP28" s="274"/>
      <c r="EQ28" s="274"/>
      <c r="ER28" s="274"/>
      <c r="ES28" s="274"/>
      <c r="ET28" s="274"/>
      <c r="EU28" s="274"/>
      <c r="EV28" s="274"/>
      <c r="EW28" s="274"/>
      <c r="EX28" s="274"/>
      <c r="EY28" s="274"/>
      <c r="EZ28" s="274"/>
      <c r="FA28" s="274"/>
      <c r="FB28" s="274"/>
      <c r="FC28" s="274"/>
      <c r="FD28" s="274"/>
      <c r="FE28" s="274"/>
      <c r="FF28" s="274"/>
      <c r="FG28" s="274"/>
      <c r="FH28" s="274"/>
      <c r="FI28" s="274"/>
      <c r="FJ28" s="274"/>
      <c r="FK28" s="274"/>
      <c r="FL28" s="274"/>
      <c r="FM28" s="274"/>
      <c r="FN28" s="274"/>
      <c r="FO28" s="274"/>
      <c r="FP28" s="274"/>
      <c r="FQ28" s="274"/>
      <c r="FR28" s="274"/>
      <c r="FS28" s="274"/>
      <c r="FT28" s="274"/>
      <c r="FU28" s="274"/>
      <c r="FV28" s="274"/>
      <c r="FW28" s="274"/>
      <c r="FX28" s="274"/>
      <c r="FY28" s="274"/>
      <c r="FZ28" s="274"/>
      <c r="GA28" s="274"/>
      <c r="GB28" s="274"/>
      <c r="GC28" s="274"/>
      <c r="GD28" s="274"/>
      <c r="GE28" s="274"/>
      <c r="GF28" s="274"/>
      <c r="GG28" s="274"/>
      <c r="GH28" s="274"/>
      <c r="GI28" s="274"/>
      <c r="GJ28" s="274"/>
      <c r="GK28" s="274"/>
      <c r="GL28" s="274"/>
      <c r="GM28" s="274"/>
      <c r="GN28" s="274"/>
      <c r="GO28" s="274"/>
      <c r="GP28" s="274"/>
      <c r="GQ28" s="274"/>
      <c r="GR28" s="274"/>
      <c r="GS28" s="274"/>
      <c r="GT28" s="274"/>
      <c r="GU28" s="274"/>
      <c r="GV28" s="274"/>
      <c r="GW28" s="274"/>
      <c r="GX28" s="274"/>
      <c r="GY28" s="274"/>
      <c r="GZ28" s="274"/>
      <c r="HA28" s="274"/>
      <c r="HB28" s="274"/>
      <c r="HC28" s="274"/>
      <c r="HD28" s="274"/>
      <c r="HE28" s="274"/>
      <c r="HF28" s="274"/>
      <c r="HG28" s="274"/>
      <c r="HH28" s="274"/>
      <c r="HI28" s="274"/>
      <c r="HJ28" s="274"/>
    </row>
    <row r="29" spans="1:218" ht="24.6" customHeight="1">
      <c r="A29" s="10"/>
      <c r="B29" s="285"/>
      <c r="C29" s="346"/>
      <c r="D29" s="347"/>
      <c r="E29" s="347"/>
      <c r="F29" s="347"/>
      <c r="G29" s="347"/>
      <c r="H29" s="347"/>
      <c r="I29" s="348"/>
      <c r="J29" s="289"/>
      <c r="K29" s="364"/>
      <c r="L29" s="365"/>
      <c r="M29" s="308"/>
      <c r="N29" s="335"/>
      <c r="O29" s="345"/>
      <c r="P29" s="335"/>
      <c r="Q29" s="345"/>
      <c r="R29" s="336"/>
      <c r="S29" s="336"/>
      <c r="T29" s="336"/>
      <c r="U29" s="336"/>
      <c r="V29" s="337"/>
      <c r="W29" s="315"/>
      <c r="X29" s="315"/>
      <c r="Y29" s="315"/>
      <c r="Z29" s="315"/>
      <c r="AA29" s="315"/>
      <c r="AB29" s="315"/>
      <c r="AC29" s="315"/>
      <c r="AD29" s="315"/>
      <c r="AE29" s="315"/>
      <c r="AF29" s="315"/>
      <c r="AG29" s="315"/>
      <c r="AH29" s="315"/>
      <c r="AI29" s="315"/>
      <c r="AJ29" s="315"/>
      <c r="AK29" s="315"/>
      <c r="AL29" s="315"/>
      <c r="AM29" s="315"/>
      <c r="AN29" s="315"/>
      <c r="AO29" s="315"/>
      <c r="AP29" s="315"/>
      <c r="AQ29" s="315"/>
      <c r="AR29" s="315"/>
      <c r="AS29" s="315"/>
      <c r="AT29" s="315"/>
      <c r="AU29" s="315"/>
      <c r="AV29" s="315"/>
      <c r="AW29" s="315"/>
      <c r="AX29" s="315"/>
      <c r="AY29" s="315"/>
      <c r="AZ29" s="315"/>
      <c r="BA29" s="315"/>
      <c r="BB29" s="315"/>
      <c r="BC29" s="315"/>
      <c r="BD29" s="315"/>
      <c r="BE29" s="315"/>
      <c r="BF29" s="315"/>
      <c r="BG29" s="315"/>
      <c r="BH29" s="315"/>
      <c r="BI29" s="315"/>
      <c r="BJ29" s="315"/>
      <c r="BK29" s="315"/>
      <c r="BL29" s="315"/>
      <c r="BM29" s="274"/>
      <c r="BN29" s="274"/>
      <c r="BO29" s="274"/>
      <c r="BP29" s="274"/>
      <c r="BQ29" s="274"/>
      <c r="BR29" s="274"/>
      <c r="BS29" s="274"/>
      <c r="BT29" s="274"/>
      <c r="BU29" s="274"/>
      <c r="BV29" s="274"/>
      <c r="BW29" s="274"/>
      <c r="BX29" s="274"/>
      <c r="BY29" s="274"/>
      <c r="BZ29" s="274"/>
      <c r="CA29" s="274"/>
      <c r="CB29" s="274"/>
      <c r="CC29" s="274"/>
      <c r="CD29" s="274"/>
      <c r="CE29" s="274"/>
      <c r="CF29" s="274"/>
      <c r="CG29" s="274"/>
      <c r="CH29" s="274"/>
      <c r="CI29" s="274"/>
      <c r="CJ29" s="274"/>
      <c r="CK29" s="274"/>
      <c r="CL29" s="274"/>
      <c r="CM29" s="274"/>
      <c r="CN29" s="274"/>
      <c r="CO29" s="274"/>
      <c r="CP29" s="274"/>
      <c r="CQ29" s="274"/>
      <c r="CR29" s="274"/>
      <c r="CS29" s="274"/>
      <c r="CT29" s="274"/>
      <c r="CU29" s="274"/>
      <c r="CV29" s="274"/>
      <c r="CW29" s="274"/>
      <c r="CX29" s="274"/>
      <c r="CY29" s="274"/>
      <c r="CZ29" s="274"/>
      <c r="DA29" s="274"/>
      <c r="DB29" s="274"/>
      <c r="DC29" s="274"/>
      <c r="DD29" s="274"/>
      <c r="DE29" s="274"/>
      <c r="DF29" s="274"/>
      <c r="DG29" s="274"/>
      <c r="DH29" s="274"/>
      <c r="DI29" s="274"/>
      <c r="DJ29" s="274"/>
      <c r="DK29" s="274"/>
      <c r="DL29" s="274"/>
      <c r="DM29" s="274"/>
      <c r="DN29" s="274"/>
      <c r="DO29" s="274"/>
      <c r="DP29" s="274"/>
      <c r="DQ29" s="274"/>
      <c r="DR29" s="274"/>
      <c r="DS29" s="274"/>
      <c r="DT29" s="274"/>
      <c r="DU29" s="274"/>
      <c r="DV29" s="274"/>
      <c r="DW29" s="274"/>
      <c r="DX29" s="274"/>
      <c r="DY29" s="274"/>
      <c r="DZ29" s="274"/>
      <c r="EA29" s="274"/>
      <c r="EB29" s="274"/>
      <c r="EC29" s="274"/>
      <c r="ED29" s="274"/>
      <c r="EE29" s="274"/>
      <c r="EF29" s="274"/>
      <c r="EG29" s="274"/>
      <c r="EH29" s="274"/>
      <c r="EI29" s="274"/>
      <c r="EJ29" s="274"/>
      <c r="EK29" s="274"/>
      <c r="EL29" s="274"/>
      <c r="EM29" s="274"/>
      <c r="EN29" s="274"/>
      <c r="EO29" s="274"/>
      <c r="EP29" s="274"/>
      <c r="EQ29" s="274"/>
      <c r="ER29" s="274"/>
      <c r="ES29" s="274"/>
      <c r="ET29" s="274"/>
      <c r="EU29" s="274"/>
      <c r="EV29" s="274"/>
      <c r="EW29" s="274"/>
      <c r="EX29" s="274"/>
      <c r="EY29" s="274"/>
      <c r="EZ29" s="274"/>
      <c r="FA29" s="274"/>
      <c r="FB29" s="274"/>
      <c r="FC29" s="274"/>
      <c r="FD29" s="274"/>
      <c r="FE29" s="274"/>
      <c r="FF29" s="274"/>
      <c r="FG29" s="274"/>
      <c r="FH29" s="274"/>
      <c r="FI29" s="274"/>
      <c r="FJ29" s="274"/>
      <c r="FK29" s="274"/>
      <c r="FL29" s="274"/>
      <c r="FM29" s="274"/>
      <c r="FN29" s="274"/>
      <c r="FO29" s="274"/>
      <c r="FP29" s="274"/>
      <c r="FQ29" s="274"/>
      <c r="FR29" s="274"/>
      <c r="FS29" s="274"/>
      <c r="FT29" s="274"/>
      <c r="FU29" s="274"/>
      <c r="FV29" s="274"/>
      <c r="FW29" s="274"/>
      <c r="FX29" s="274"/>
      <c r="FY29" s="274"/>
      <c r="FZ29" s="274"/>
      <c r="GA29" s="274"/>
      <c r="GB29" s="274"/>
      <c r="GC29" s="274"/>
      <c r="GD29" s="274"/>
      <c r="GE29" s="274"/>
      <c r="GF29" s="274"/>
      <c r="GG29" s="274"/>
      <c r="GH29" s="274"/>
      <c r="GI29" s="274"/>
      <c r="GJ29" s="274"/>
      <c r="GK29" s="274"/>
      <c r="GL29" s="274"/>
      <c r="GM29" s="274"/>
      <c r="GN29" s="274"/>
      <c r="GO29" s="274"/>
      <c r="GP29" s="274"/>
      <c r="GQ29" s="274"/>
      <c r="GR29" s="274"/>
      <c r="GS29" s="274"/>
      <c r="GT29" s="274"/>
      <c r="GU29" s="274"/>
      <c r="GV29" s="274"/>
      <c r="GW29" s="274"/>
      <c r="GX29" s="274"/>
      <c r="GY29" s="274"/>
      <c r="GZ29" s="274"/>
      <c r="HA29" s="274"/>
      <c r="HB29" s="274"/>
      <c r="HC29" s="274"/>
      <c r="HD29" s="274"/>
      <c r="HE29" s="274"/>
      <c r="HF29" s="274"/>
      <c r="HG29" s="274"/>
      <c r="HH29" s="274"/>
      <c r="HI29" s="274"/>
      <c r="HJ29" s="274"/>
    </row>
    <row r="30" spans="1:218" ht="24.6" customHeight="1">
      <c r="A30" s="10"/>
      <c r="B30" s="285"/>
      <c r="C30" s="346"/>
      <c r="D30" s="347"/>
      <c r="E30" s="347"/>
      <c r="F30" s="347"/>
      <c r="G30" s="347"/>
      <c r="H30" s="347"/>
      <c r="I30" s="348"/>
      <c r="J30" s="289"/>
      <c r="K30" s="364"/>
      <c r="L30" s="365"/>
      <c r="M30" s="308"/>
      <c r="N30" s="335"/>
      <c r="O30" s="345"/>
      <c r="P30" s="335"/>
      <c r="Q30" s="345"/>
      <c r="R30" s="336"/>
      <c r="S30" s="336"/>
      <c r="T30" s="336"/>
      <c r="U30" s="336"/>
      <c r="V30" s="337"/>
      <c r="W30" s="315"/>
      <c r="X30" s="315"/>
      <c r="Y30" s="315"/>
      <c r="Z30" s="315"/>
      <c r="AA30" s="315"/>
      <c r="AB30" s="315"/>
      <c r="AC30" s="315"/>
      <c r="AD30" s="315"/>
      <c r="AE30" s="315"/>
      <c r="AF30" s="315"/>
      <c r="AG30" s="315"/>
      <c r="AH30" s="315"/>
      <c r="AI30" s="315"/>
      <c r="AJ30" s="315"/>
      <c r="AK30" s="315"/>
      <c r="AL30" s="315"/>
      <c r="AM30" s="315"/>
      <c r="AN30" s="315"/>
      <c r="AO30" s="315"/>
      <c r="AP30" s="315"/>
      <c r="AQ30" s="315"/>
      <c r="AR30" s="315"/>
      <c r="AS30" s="315"/>
      <c r="AT30" s="315"/>
      <c r="AU30" s="315"/>
      <c r="AV30" s="315"/>
      <c r="AW30" s="315"/>
      <c r="AX30" s="315"/>
      <c r="AY30" s="315"/>
      <c r="AZ30" s="315"/>
      <c r="BA30" s="315"/>
      <c r="BB30" s="315"/>
      <c r="BC30" s="315"/>
      <c r="BD30" s="315"/>
      <c r="BE30" s="315"/>
      <c r="BF30" s="315"/>
      <c r="BG30" s="315"/>
      <c r="BH30" s="315"/>
      <c r="BI30" s="315"/>
      <c r="BJ30" s="315"/>
      <c r="BK30" s="315"/>
      <c r="BL30" s="315"/>
      <c r="BM30" s="274"/>
      <c r="BN30" s="274"/>
      <c r="BO30" s="274"/>
      <c r="BP30" s="274"/>
      <c r="BQ30" s="274"/>
      <c r="BR30" s="274"/>
      <c r="BS30" s="274"/>
      <c r="BT30" s="274"/>
      <c r="BU30" s="274"/>
      <c r="BV30" s="274"/>
      <c r="BW30" s="274"/>
      <c r="BX30" s="274"/>
      <c r="BY30" s="274"/>
      <c r="BZ30" s="274"/>
      <c r="CA30" s="274"/>
      <c r="CB30" s="274"/>
      <c r="CC30" s="274"/>
      <c r="CD30" s="274"/>
      <c r="CE30" s="274"/>
      <c r="CF30" s="274"/>
      <c r="CG30" s="274"/>
      <c r="CH30" s="274"/>
      <c r="CI30" s="274"/>
      <c r="CJ30" s="274"/>
      <c r="CK30" s="274"/>
      <c r="CL30" s="274"/>
      <c r="CM30" s="274"/>
      <c r="CN30" s="274"/>
      <c r="CO30" s="274"/>
      <c r="CP30" s="274"/>
      <c r="CQ30" s="274"/>
      <c r="CR30" s="274"/>
      <c r="CS30" s="274"/>
      <c r="CT30" s="274"/>
      <c r="CU30" s="274"/>
      <c r="CV30" s="274"/>
      <c r="CW30" s="274"/>
      <c r="CX30" s="274"/>
      <c r="CY30" s="274"/>
      <c r="CZ30" s="274"/>
      <c r="DA30" s="274"/>
      <c r="DB30" s="274"/>
      <c r="DC30" s="274"/>
      <c r="DD30" s="274"/>
      <c r="DE30" s="274"/>
      <c r="DF30" s="274"/>
      <c r="DG30" s="274"/>
      <c r="DH30" s="274"/>
      <c r="DI30" s="274"/>
      <c r="DJ30" s="274"/>
      <c r="DK30" s="274"/>
      <c r="DL30" s="274"/>
      <c r="DM30" s="274"/>
      <c r="DN30" s="274"/>
      <c r="DO30" s="274"/>
      <c r="DP30" s="274"/>
      <c r="DQ30" s="274"/>
      <c r="DR30" s="274"/>
      <c r="DS30" s="274"/>
      <c r="DT30" s="274"/>
      <c r="DU30" s="274"/>
      <c r="DV30" s="274"/>
      <c r="DW30" s="274"/>
      <c r="DX30" s="274"/>
      <c r="DY30" s="274"/>
      <c r="DZ30" s="274"/>
      <c r="EA30" s="274"/>
      <c r="EB30" s="274"/>
      <c r="EC30" s="274"/>
      <c r="ED30" s="274"/>
      <c r="EE30" s="274"/>
      <c r="EF30" s="274"/>
      <c r="EG30" s="274"/>
      <c r="EH30" s="274"/>
      <c r="EI30" s="274"/>
      <c r="EJ30" s="274"/>
      <c r="EK30" s="274"/>
      <c r="EL30" s="274"/>
      <c r="EM30" s="274"/>
      <c r="EN30" s="274"/>
      <c r="EO30" s="274"/>
      <c r="EP30" s="274"/>
      <c r="EQ30" s="274"/>
      <c r="ER30" s="274"/>
      <c r="ES30" s="274"/>
      <c r="ET30" s="274"/>
      <c r="EU30" s="274"/>
      <c r="EV30" s="274"/>
      <c r="EW30" s="274"/>
      <c r="EX30" s="274"/>
      <c r="EY30" s="274"/>
      <c r="EZ30" s="274"/>
      <c r="FA30" s="274"/>
      <c r="FB30" s="274"/>
      <c r="FC30" s="274"/>
      <c r="FD30" s="274"/>
      <c r="FE30" s="274"/>
      <c r="FF30" s="274"/>
      <c r="FG30" s="274"/>
      <c r="FH30" s="274"/>
      <c r="FI30" s="274"/>
      <c r="FJ30" s="274"/>
      <c r="FK30" s="274"/>
      <c r="FL30" s="274"/>
      <c r="FM30" s="274"/>
      <c r="FN30" s="274"/>
      <c r="FO30" s="274"/>
      <c r="FP30" s="274"/>
      <c r="FQ30" s="274"/>
      <c r="FR30" s="274"/>
      <c r="FS30" s="274"/>
      <c r="FT30" s="274"/>
      <c r="FU30" s="274"/>
      <c r="FV30" s="274"/>
      <c r="FW30" s="274"/>
      <c r="FX30" s="274"/>
      <c r="FY30" s="274"/>
      <c r="FZ30" s="274"/>
      <c r="GA30" s="274"/>
      <c r="GB30" s="274"/>
      <c r="GC30" s="274"/>
      <c r="GD30" s="274"/>
      <c r="GE30" s="274"/>
      <c r="GF30" s="274"/>
      <c r="GG30" s="274"/>
      <c r="GH30" s="274"/>
      <c r="GI30" s="274"/>
      <c r="GJ30" s="274"/>
      <c r="GK30" s="274"/>
      <c r="GL30" s="274"/>
      <c r="GM30" s="274"/>
      <c r="GN30" s="274"/>
      <c r="GO30" s="274"/>
      <c r="GP30" s="274"/>
      <c r="GQ30" s="274"/>
      <c r="GR30" s="274"/>
      <c r="GS30" s="274"/>
      <c r="GT30" s="274"/>
      <c r="GU30" s="274"/>
      <c r="GV30" s="274"/>
      <c r="GW30" s="274"/>
      <c r="GX30" s="274"/>
      <c r="GY30" s="274"/>
      <c r="GZ30" s="274"/>
      <c r="HA30" s="274"/>
      <c r="HB30" s="274"/>
      <c r="HC30" s="274"/>
      <c r="HD30" s="274"/>
      <c r="HE30" s="274"/>
      <c r="HF30" s="274"/>
      <c r="HG30" s="274"/>
      <c r="HH30" s="274"/>
      <c r="HI30" s="274"/>
      <c r="HJ30" s="274"/>
    </row>
    <row r="31" spans="1:218" ht="24.6" customHeight="1">
      <c r="A31" s="10"/>
      <c r="B31" s="285"/>
      <c r="C31" s="346"/>
      <c r="D31" s="347"/>
      <c r="E31" s="347"/>
      <c r="F31" s="347"/>
      <c r="G31" s="347"/>
      <c r="H31" s="347"/>
      <c r="I31" s="348"/>
      <c r="J31" s="289"/>
      <c r="K31" s="364"/>
      <c r="L31" s="365"/>
      <c r="M31" s="308"/>
      <c r="N31" s="335"/>
      <c r="O31" s="345"/>
      <c r="P31" s="335"/>
      <c r="Q31" s="345"/>
      <c r="R31" s="336"/>
      <c r="S31" s="336"/>
      <c r="T31" s="336"/>
      <c r="U31" s="336"/>
      <c r="V31" s="337"/>
      <c r="W31" s="315"/>
      <c r="X31" s="315"/>
      <c r="Y31" s="315"/>
      <c r="Z31" s="315"/>
      <c r="AA31" s="315"/>
      <c r="AB31" s="315"/>
      <c r="AC31" s="315"/>
      <c r="AD31" s="315"/>
      <c r="AE31" s="315"/>
      <c r="AF31" s="315"/>
      <c r="AG31" s="315"/>
      <c r="AH31" s="315"/>
      <c r="AI31" s="315"/>
      <c r="AJ31" s="315"/>
      <c r="AK31" s="315"/>
      <c r="AL31" s="315"/>
      <c r="AM31" s="315"/>
      <c r="AN31" s="315"/>
      <c r="AO31" s="315"/>
      <c r="AP31" s="315"/>
      <c r="AQ31" s="315"/>
      <c r="AR31" s="315"/>
      <c r="AS31" s="315"/>
      <c r="AT31" s="315"/>
      <c r="AU31" s="315"/>
      <c r="AV31" s="315"/>
      <c r="AW31" s="315"/>
      <c r="AX31" s="315"/>
      <c r="AY31" s="315"/>
      <c r="AZ31" s="315"/>
      <c r="BA31" s="315"/>
      <c r="BB31" s="315"/>
      <c r="BC31" s="315"/>
      <c r="BD31" s="315"/>
      <c r="BE31" s="315"/>
      <c r="BF31" s="315"/>
      <c r="BG31" s="315"/>
      <c r="BH31" s="315"/>
      <c r="BI31" s="315"/>
      <c r="BJ31" s="315"/>
      <c r="BK31" s="315"/>
      <c r="BL31" s="315"/>
      <c r="BM31" s="274"/>
      <c r="BN31" s="274"/>
      <c r="BO31" s="274"/>
      <c r="BP31" s="274"/>
      <c r="BQ31" s="274"/>
      <c r="BR31" s="274"/>
      <c r="BS31" s="274"/>
      <c r="BT31" s="274"/>
      <c r="BU31" s="274"/>
      <c r="BV31" s="274"/>
      <c r="BW31" s="274"/>
      <c r="BX31" s="274"/>
      <c r="BY31" s="274"/>
      <c r="BZ31" s="274"/>
      <c r="CA31" s="274"/>
      <c r="CB31" s="274"/>
      <c r="CC31" s="274"/>
      <c r="CD31" s="274"/>
      <c r="CE31" s="274"/>
      <c r="CF31" s="274"/>
      <c r="CG31" s="274"/>
      <c r="CH31" s="274"/>
      <c r="CI31" s="274"/>
      <c r="CJ31" s="274"/>
      <c r="CK31" s="274"/>
      <c r="CL31" s="274"/>
      <c r="CM31" s="274"/>
      <c r="CN31" s="274"/>
      <c r="CO31" s="274"/>
      <c r="CP31" s="274"/>
      <c r="CQ31" s="274"/>
      <c r="CR31" s="274"/>
      <c r="CS31" s="274"/>
      <c r="CT31" s="274"/>
      <c r="CU31" s="274"/>
      <c r="CV31" s="274"/>
      <c r="CW31" s="274"/>
      <c r="CX31" s="274"/>
      <c r="CY31" s="274"/>
      <c r="CZ31" s="274"/>
      <c r="DA31" s="274"/>
      <c r="DB31" s="274"/>
      <c r="DC31" s="274"/>
      <c r="DD31" s="274"/>
      <c r="DE31" s="274"/>
      <c r="DF31" s="274"/>
      <c r="DG31" s="274"/>
      <c r="DH31" s="274"/>
      <c r="DI31" s="274"/>
      <c r="DJ31" s="274"/>
      <c r="DK31" s="274"/>
      <c r="DL31" s="274"/>
      <c r="DM31" s="274"/>
      <c r="DN31" s="274"/>
      <c r="DO31" s="274"/>
      <c r="DP31" s="274"/>
      <c r="DQ31" s="274"/>
      <c r="DR31" s="274"/>
      <c r="DS31" s="274"/>
      <c r="DT31" s="274"/>
      <c r="DU31" s="274"/>
      <c r="DV31" s="274"/>
      <c r="DW31" s="274"/>
      <c r="DX31" s="274"/>
      <c r="DY31" s="274"/>
      <c r="DZ31" s="274"/>
      <c r="EA31" s="274"/>
      <c r="EB31" s="274"/>
      <c r="EC31" s="274"/>
      <c r="ED31" s="274"/>
      <c r="EE31" s="274"/>
      <c r="EF31" s="274"/>
      <c r="EG31" s="274"/>
      <c r="EH31" s="274"/>
      <c r="EI31" s="274"/>
      <c r="EJ31" s="274"/>
      <c r="EK31" s="274"/>
      <c r="EL31" s="274"/>
      <c r="EM31" s="274"/>
      <c r="EN31" s="274"/>
      <c r="EO31" s="274"/>
      <c r="EP31" s="274"/>
      <c r="EQ31" s="274"/>
      <c r="ER31" s="274"/>
      <c r="ES31" s="274"/>
      <c r="ET31" s="274"/>
      <c r="EU31" s="274"/>
      <c r="EV31" s="274"/>
      <c r="EW31" s="274"/>
      <c r="EX31" s="274"/>
      <c r="EY31" s="274"/>
      <c r="EZ31" s="274"/>
      <c r="FA31" s="274"/>
      <c r="FB31" s="274"/>
      <c r="FC31" s="274"/>
      <c r="FD31" s="274"/>
      <c r="FE31" s="274"/>
      <c r="FF31" s="274"/>
      <c r="FG31" s="274"/>
      <c r="FH31" s="274"/>
      <c r="FI31" s="274"/>
      <c r="FJ31" s="274"/>
      <c r="FK31" s="274"/>
      <c r="FL31" s="274"/>
      <c r="FM31" s="274"/>
      <c r="FN31" s="274"/>
      <c r="FO31" s="274"/>
      <c r="FP31" s="274"/>
      <c r="FQ31" s="274"/>
      <c r="FR31" s="274"/>
      <c r="FS31" s="274"/>
      <c r="FT31" s="274"/>
      <c r="FU31" s="274"/>
      <c r="FV31" s="274"/>
      <c r="FW31" s="274"/>
      <c r="FX31" s="274"/>
      <c r="FY31" s="274"/>
      <c r="FZ31" s="274"/>
      <c r="GA31" s="274"/>
      <c r="GB31" s="274"/>
      <c r="GC31" s="274"/>
      <c r="GD31" s="274"/>
      <c r="GE31" s="274"/>
      <c r="GF31" s="274"/>
      <c r="GG31" s="274"/>
      <c r="GH31" s="274"/>
      <c r="GI31" s="274"/>
      <c r="GJ31" s="274"/>
      <c r="GK31" s="274"/>
      <c r="GL31" s="274"/>
      <c r="GM31" s="274"/>
      <c r="GN31" s="274"/>
      <c r="GO31" s="274"/>
      <c r="GP31" s="274"/>
      <c r="GQ31" s="274"/>
      <c r="GR31" s="274"/>
      <c r="GS31" s="274"/>
      <c r="GT31" s="274"/>
      <c r="GU31" s="274"/>
      <c r="GV31" s="274"/>
      <c r="GW31" s="274"/>
      <c r="GX31" s="274"/>
      <c r="GY31" s="274"/>
      <c r="GZ31" s="274"/>
      <c r="HA31" s="274"/>
      <c r="HB31" s="274"/>
      <c r="HC31" s="274"/>
      <c r="HD31" s="274"/>
      <c r="HE31" s="274"/>
      <c r="HF31" s="274"/>
      <c r="HG31" s="274"/>
      <c r="HH31" s="274"/>
      <c r="HI31" s="274"/>
      <c r="HJ31" s="274"/>
    </row>
    <row r="32" spans="1:218" ht="24.6" customHeight="1">
      <c r="A32" s="10"/>
      <c r="B32" s="285"/>
      <c r="C32" s="346"/>
      <c r="D32" s="347"/>
      <c r="E32" s="347"/>
      <c r="F32" s="347"/>
      <c r="G32" s="347"/>
      <c r="H32" s="347"/>
      <c r="I32" s="348"/>
      <c r="J32" s="289"/>
      <c r="K32" s="364"/>
      <c r="L32" s="365"/>
      <c r="M32" s="308"/>
      <c r="N32" s="335"/>
      <c r="O32" s="345"/>
      <c r="P32" s="335"/>
      <c r="Q32" s="345"/>
      <c r="R32" s="336"/>
      <c r="S32" s="336"/>
      <c r="T32" s="336"/>
      <c r="U32" s="336"/>
      <c r="V32" s="337"/>
      <c r="W32" s="315"/>
      <c r="X32" s="315"/>
      <c r="Y32" s="315"/>
      <c r="Z32" s="315"/>
      <c r="AA32" s="315"/>
      <c r="AB32" s="315"/>
      <c r="AC32" s="315"/>
      <c r="AD32" s="315"/>
      <c r="AE32" s="315"/>
      <c r="AF32" s="315"/>
      <c r="AG32" s="315"/>
      <c r="AH32" s="315"/>
      <c r="AI32" s="315"/>
      <c r="AJ32" s="315"/>
      <c r="AK32" s="315"/>
      <c r="AL32" s="315"/>
      <c r="AM32" s="315"/>
      <c r="AN32" s="315"/>
      <c r="AO32" s="315"/>
      <c r="AP32" s="315"/>
      <c r="AQ32" s="315"/>
      <c r="AR32" s="315"/>
      <c r="AS32" s="315"/>
      <c r="AT32" s="315"/>
      <c r="AU32" s="315"/>
      <c r="AV32" s="315"/>
      <c r="AW32" s="315"/>
      <c r="AX32" s="315"/>
      <c r="AY32" s="315"/>
      <c r="AZ32" s="315"/>
      <c r="BA32" s="315"/>
      <c r="BB32" s="315"/>
      <c r="BC32" s="315"/>
      <c r="BD32" s="315"/>
      <c r="BE32" s="315"/>
      <c r="BF32" s="315"/>
      <c r="BG32" s="315"/>
      <c r="BH32" s="315"/>
      <c r="BI32" s="315"/>
      <c r="BJ32" s="315"/>
      <c r="BK32" s="315"/>
      <c r="BL32" s="315"/>
      <c r="BM32" s="274"/>
      <c r="BN32" s="274"/>
      <c r="BO32" s="274"/>
      <c r="BP32" s="274"/>
      <c r="BQ32" s="274"/>
      <c r="BR32" s="274"/>
      <c r="BS32" s="274"/>
      <c r="BT32" s="274"/>
      <c r="BU32" s="274"/>
      <c r="BV32" s="274"/>
      <c r="BW32" s="274"/>
      <c r="BX32" s="274"/>
      <c r="BY32" s="274"/>
      <c r="BZ32" s="274"/>
      <c r="CA32" s="274"/>
      <c r="CB32" s="274"/>
      <c r="CC32" s="274"/>
      <c r="CD32" s="274"/>
      <c r="CE32" s="274"/>
      <c r="CF32" s="274"/>
      <c r="CG32" s="274"/>
      <c r="CH32" s="274"/>
      <c r="CI32" s="274"/>
      <c r="CJ32" s="274"/>
      <c r="CK32" s="274"/>
      <c r="CL32" s="274"/>
      <c r="CM32" s="274"/>
      <c r="CN32" s="274"/>
      <c r="CO32" s="274"/>
      <c r="CP32" s="274"/>
      <c r="CQ32" s="274"/>
      <c r="CR32" s="274"/>
      <c r="CS32" s="274"/>
      <c r="CT32" s="274"/>
      <c r="CU32" s="274"/>
      <c r="CV32" s="274"/>
      <c r="CW32" s="274"/>
      <c r="CX32" s="274"/>
      <c r="CY32" s="274"/>
      <c r="CZ32" s="274"/>
      <c r="DA32" s="274"/>
      <c r="DB32" s="274"/>
      <c r="DC32" s="274"/>
      <c r="DD32" s="274"/>
      <c r="DE32" s="274"/>
      <c r="DF32" s="274"/>
      <c r="DG32" s="274"/>
      <c r="DH32" s="274"/>
      <c r="DI32" s="274"/>
      <c r="DJ32" s="274"/>
      <c r="DK32" s="274"/>
      <c r="DL32" s="274"/>
      <c r="DM32" s="274"/>
      <c r="DN32" s="274"/>
      <c r="DO32" s="274"/>
      <c r="DP32" s="274"/>
      <c r="DQ32" s="274"/>
      <c r="DR32" s="274"/>
      <c r="DS32" s="274"/>
      <c r="DT32" s="274"/>
      <c r="DU32" s="274"/>
      <c r="DV32" s="274"/>
      <c r="DW32" s="274"/>
      <c r="DX32" s="274"/>
      <c r="DY32" s="274"/>
      <c r="DZ32" s="274"/>
      <c r="EA32" s="274"/>
      <c r="EB32" s="274"/>
      <c r="EC32" s="274"/>
      <c r="ED32" s="274"/>
      <c r="EE32" s="274"/>
      <c r="EF32" s="274"/>
      <c r="EG32" s="274"/>
      <c r="EH32" s="274"/>
      <c r="EI32" s="274"/>
      <c r="EJ32" s="274"/>
      <c r="EK32" s="274"/>
      <c r="EL32" s="274"/>
      <c r="EM32" s="274"/>
      <c r="EN32" s="274"/>
      <c r="EO32" s="274"/>
      <c r="EP32" s="274"/>
      <c r="EQ32" s="274"/>
      <c r="ER32" s="274"/>
      <c r="ES32" s="274"/>
      <c r="ET32" s="274"/>
      <c r="EU32" s="274"/>
      <c r="EV32" s="274"/>
      <c r="EW32" s="274"/>
      <c r="EX32" s="274"/>
      <c r="EY32" s="274"/>
      <c r="EZ32" s="274"/>
      <c r="FA32" s="274"/>
      <c r="FB32" s="274"/>
      <c r="FC32" s="274"/>
      <c r="FD32" s="274"/>
      <c r="FE32" s="274"/>
      <c r="FF32" s="274"/>
      <c r="FG32" s="274"/>
      <c r="FH32" s="274"/>
      <c r="FI32" s="274"/>
      <c r="FJ32" s="274"/>
      <c r="FK32" s="274"/>
      <c r="FL32" s="274"/>
      <c r="FM32" s="274"/>
      <c r="FN32" s="274"/>
      <c r="FO32" s="274"/>
      <c r="FP32" s="274"/>
      <c r="FQ32" s="274"/>
      <c r="FR32" s="274"/>
      <c r="FS32" s="274"/>
      <c r="FT32" s="274"/>
      <c r="FU32" s="274"/>
      <c r="FV32" s="274"/>
      <c r="FW32" s="274"/>
      <c r="FX32" s="274"/>
      <c r="FY32" s="274"/>
      <c r="FZ32" s="274"/>
      <c r="GA32" s="274"/>
      <c r="GB32" s="274"/>
      <c r="GC32" s="274"/>
      <c r="GD32" s="274"/>
      <c r="GE32" s="274"/>
      <c r="GF32" s="274"/>
      <c r="GG32" s="274"/>
      <c r="GH32" s="274"/>
      <c r="GI32" s="274"/>
      <c r="GJ32" s="274"/>
      <c r="GK32" s="274"/>
      <c r="GL32" s="274"/>
      <c r="GM32" s="274"/>
      <c r="GN32" s="274"/>
      <c r="GO32" s="274"/>
      <c r="GP32" s="274"/>
      <c r="GQ32" s="274"/>
      <c r="GR32" s="274"/>
      <c r="GS32" s="274"/>
      <c r="GT32" s="274"/>
      <c r="GU32" s="274"/>
      <c r="GV32" s="274"/>
      <c r="GW32" s="274"/>
      <c r="GX32" s="274"/>
      <c r="GY32" s="274"/>
      <c r="GZ32" s="274"/>
      <c r="HA32" s="274"/>
      <c r="HB32" s="274"/>
      <c r="HC32" s="274"/>
      <c r="HD32" s="274"/>
      <c r="HE32" s="274"/>
      <c r="HF32" s="274"/>
      <c r="HG32" s="274"/>
      <c r="HH32" s="274"/>
      <c r="HI32" s="274"/>
      <c r="HJ32" s="274"/>
    </row>
    <row r="33" spans="1:218" ht="24.6" customHeight="1">
      <c r="A33" s="10"/>
      <c r="B33" s="285"/>
      <c r="C33" s="346"/>
      <c r="D33" s="347"/>
      <c r="E33" s="347"/>
      <c r="F33" s="347"/>
      <c r="G33" s="347"/>
      <c r="H33" s="347"/>
      <c r="I33" s="348"/>
      <c r="J33" s="289"/>
      <c r="K33" s="364"/>
      <c r="L33" s="365"/>
      <c r="M33" s="308"/>
      <c r="N33" s="335"/>
      <c r="O33" s="345"/>
      <c r="P33" s="335"/>
      <c r="Q33" s="345"/>
      <c r="R33" s="336"/>
      <c r="S33" s="336"/>
      <c r="T33" s="336"/>
      <c r="U33" s="336"/>
      <c r="V33" s="337"/>
      <c r="W33" s="315"/>
      <c r="X33" s="315"/>
      <c r="Y33" s="315"/>
      <c r="Z33" s="315"/>
      <c r="AA33" s="315"/>
      <c r="AB33" s="315"/>
      <c r="AC33" s="315"/>
      <c r="AD33" s="315"/>
      <c r="AE33" s="315"/>
      <c r="AF33" s="315"/>
      <c r="AG33" s="315"/>
      <c r="AH33" s="315"/>
      <c r="AI33" s="315"/>
      <c r="AJ33" s="315"/>
      <c r="AK33" s="315"/>
      <c r="AL33" s="315"/>
      <c r="AM33" s="315"/>
      <c r="AN33" s="315"/>
      <c r="AO33" s="315"/>
      <c r="AP33" s="315"/>
      <c r="AQ33" s="315"/>
      <c r="AR33" s="315"/>
      <c r="AS33" s="315"/>
      <c r="AT33" s="315"/>
      <c r="AU33" s="315"/>
      <c r="AV33" s="315"/>
      <c r="AW33" s="315"/>
      <c r="AX33" s="315"/>
      <c r="AY33" s="315"/>
      <c r="AZ33" s="315"/>
      <c r="BA33" s="315"/>
      <c r="BB33" s="315"/>
      <c r="BC33" s="315"/>
      <c r="BD33" s="315"/>
      <c r="BE33" s="315"/>
      <c r="BF33" s="315"/>
      <c r="BG33" s="315"/>
      <c r="BH33" s="315"/>
      <c r="BI33" s="315"/>
      <c r="BJ33" s="315"/>
      <c r="BK33" s="315"/>
      <c r="BL33" s="315"/>
      <c r="BM33" s="274"/>
      <c r="BN33" s="274"/>
      <c r="BO33" s="274"/>
      <c r="BP33" s="274"/>
      <c r="BQ33" s="274"/>
      <c r="BR33" s="274"/>
      <c r="BS33" s="274"/>
      <c r="BT33" s="274"/>
      <c r="BU33" s="274"/>
      <c r="BV33" s="274"/>
      <c r="BW33" s="274"/>
      <c r="BX33" s="274"/>
      <c r="BY33" s="274"/>
      <c r="BZ33" s="274"/>
      <c r="CA33" s="274"/>
      <c r="CB33" s="274"/>
      <c r="CC33" s="274"/>
      <c r="CD33" s="274"/>
      <c r="CE33" s="274"/>
      <c r="CF33" s="274"/>
      <c r="CG33" s="274"/>
      <c r="CH33" s="274"/>
      <c r="CI33" s="274"/>
      <c r="CJ33" s="274"/>
      <c r="CK33" s="274"/>
      <c r="CL33" s="274"/>
      <c r="CM33" s="274"/>
      <c r="CN33" s="274"/>
      <c r="CO33" s="274"/>
      <c r="CP33" s="274"/>
      <c r="CQ33" s="274"/>
      <c r="CR33" s="274"/>
      <c r="CS33" s="274"/>
      <c r="CT33" s="274"/>
      <c r="CU33" s="274"/>
      <c r="CV33" s="274"/>
      <c r="CW33" s="274"/>
      <c r="CX33" s="274"/>
      <c r="CY33" s="274"/>
      <c r="CZ33" s="274"/>
      <c r="DA33" s="274"/>
      <c r="DB33" s="274"/>
      <c r="DC33" s="274"/>
      <c r="DD33" s="274"/>
      <c r="DE33" s="274"/>
      <c r="DF33" s="274"/>
      <c r="DG33" s="274"/>
      <c r="DH33" s="274"/>
      <c r="DI33" s="274"/>
      <c r="DJ33" s="274"/>
      <c r="DK33" s="274"/>
      <c r="DL33" s="274"/>
      <c r="DM33" s="274"/>
      <c r="DN33" s="274"/>
      <c r="DO33" s="274"/>
      <c r="DP33" s="274"/>
      <c r="DQ33" s="274"/>
      <c r="DR33" s="274"/>
      <c r="DS33" s="274"/>
      <c r="DT33" s="274"/>
      <c r="DU33" s="274"/>
      <c r="DV33" s="274"/>
      <c r="DW33" s="274"/>
      <c r="DX33" s="274"/>
      <c r="DY33" s="274"/>
      <c r="DZ33" s="274"/>
      <c r="EA33" s="274"/>
      <c r="EB33" s="274"/>
      <c r="EC33" s="274"/>
      <c r="ED33" s="274"/>
      <c r="EE33" s="274"/>
      <c r="EF33" s="274"/>
      <c r="EG33" s="274"/>
      <c r="EH33" s="274"/>
      <c r="EI33" s="274"/>
      <c r="EJ33" s="274"/>
      <c r="EK33" s="274"/>
      <c r="EL33" s="274"/>
      <c r="EM33" s="274"/>
      <c r="EN33" s="274"/>
      <c r="EO33" s="274"/>
      <c r="EP33" s="274"/>
      <c r="EQ33" s="274"/>
      <c r="ER33" s="274"/>
      <c r="ES33" s="274"/>
      <c r="ET33" s="274"/>
      <c r="EU33" s="274"/>
      <c r="EV33" s="274"/>
      <c r="EW33" s="274"/>
      <c r="EX33" s="274"/>
      <c r="EY33" s="274"/>
      <c r="EZ33" s="274"/>
      <c r="FA33" s="274"/>
      <c r="FB33" s="274"/>
      <c r="FC33" s="274"/>
      <c r="FD33" s="274"/>
      <c r="FE33" s="274"/>
      <c r="FF33" s="274"/>
      <c r="FG33" s="274"/>
      <c r="FH33" s="274"/>
      <c r="FI33" s="274"/>
      <c r="FJ33" s="274"/>
      <c r="FK33" s="274"/>
      <c r="FL33" s="274"/>
      <c r="FM33" s="274"/>
      <c r="FN33" s="274"/>
      <c r="FO33" s="274"/>
      <c r="FP33" s="274"/>
      <c r="FQ33" s="274"/>
      <c r="FR33" s="274"/>
      <c r="FS33" s="274"/>
      <c r="FT33" s="274"/>
      <c r="FU33" s="274"/>
      <c r="FV33" s="274"/>
      <c r="FW33" s="274"/>
      <c r="FX33" s="274"/>
      <c r="FY33" s="274"/>
      <c r="FZ33" s="274"/>
      <c r="GA33" s="274"/>
      <c r="GB33" s="274"/>
      <c r="GC33" s="274"/>
      <c r="GD33" s="274"/>
      <c r="GE33" s="274"/>
      <c r="GF33" s="274"/>
      <c r="GG33" s="274"/>
      <c r="GH33" s="274"/>
      <c r="GI33" s="274"/>
      <c r="GJ33" s="274"/>
      <c r="GK33" s="274"/>
      <c r="GL33" s="274"/>
      <c r="GM33" s="274"/>
      <c r="GN33" s="274"/>
      <c r="GO33" s="274"/>
      <c r="GP33" s="274"/>
      <c r="GQ33" s="274"/>
      <c r="GR33" s="274"/>
      <c r="GS33" s="274"/>
      <c r="GT33" s="274"/>
      <c r="GU33" s="274"/>
      <c r="GV33" s="274"/>
      <c r="GW33" s="274"/>
      <c r="GX33" s="274"/>
      <c r="GY33" s="274"/>
      <c r="GZ33" s="274"/>
      <c r="HA33" s="274"/>
      <c r="HB33" s="274"/>
      <c r="HC33" s="274"/>
      <c r="HD33" s="274"/>
      <c r="HE33" s="274"/>
      <c r="HF33" s="274"/>
      <c r="HG33" s="274"/>
      <c r="HH33" s="274"/>
      <c r="HI33" s="274"/>
      <c r="HJ33" s="274"/>
    </row>
    <row r="34" spans="1:218" ht="24.6" customHeight="1">
      <c r="A34" s="10"/>
      <c r="B34" s="285"/>
      <c r="C34" s="346"/>
      <c r="D34" s="347"/>
      <c r="E34" s="347"/>
      <c r="F34" s="347"/>
      <c r="G34" s="347"/>
      <c r="H34" s="347"/>
      <c r="I34" s="348"/>
      <c r="J34" s="289"/>
      <c r="K34" s="364"/>
      <c r="L34" s="365"/>
      <c r="M34" s="308"/>
      <c r="N34" s="335"/>
      <c r="O34" s="345"/>
      <c r="P34" s="335"/>
      <c r="Q34" s="345"/>
      <c r="R34" s="336"/>
      <c r="S34" s="336"/>
      <c r="T34" s="336"/>
      <c r="U34" s="336"/>
      <c r="V34" s="337"/>
      <c r="W34" s="315"/>
      <c r="X34" s="315"/>
      <c r="Y34" s="315"/>
      <c r="Z34" s="315"/>
      <c r="AA34" s="315"/>
      <c r="AB34" s="315"/>
      <c r="AC34" s="315"/>
      <c r="AD34" s="315"/>
      <c r="AE34" s="315"/>
      <c r="AF34" s="315"/>
      <c r="AG34" s="315"/>
      <c r="AH34" s="315"/>
      <c r="AI34" s="315"/>
      <c r="AJ34" s="315"/>
      <c r="AK34" s="315"/>
      <c r="AL34" s="315"/>
      <c r="AM34" s="315"/>
      <c r="AN34" s="315"/>
      <c r="AO34" s="315"/>
      <c r="AP34" s="315"/>
      <c r="AQ34" s="315"/>
      <c r="AR34" s="315"/>
      <c r="AS34" s="315"/>
      <c r="AT34" s="315"/>
      <c r="AU34" s="315"/>
      <c r="AV34" s="315"/>
      <c r="AW34" s="315"/>
      <c r="AX34" s="315"/>
      <c r="AY34" s="315"/>
      <c r="AZ34" s="315"/>
      <c r="BA34" s="315"/>
      <c r="BB34" s="315"/>
      <c r="BC34" s="315"/>
      <c r="BD34" s="315"/>
      <c r="BE34" s="315"/>
      <c r="BF34" s="315"/>
      <c r="BG34" s="315"/>
      <c r="BH34" s="315"/>
      <c r="BI34" s="315"/>
      <c r="BJ34" s="315"/>
      <c r="BK34" s="315"/>
      <c r="BL34" s="315"/>
      <c r="BM34" s="274"/>
      <c r="BN34" s="274"/>
      <c r="BO34" s="274"/>
      <c r="BP34" s="274"/>
      <c r="BQ34" s="274"/>
      <c r="BR34" s="274"/>
      <c r="BS34" s="274"/>
      <c r="BT34" s="274"/>
      <c r="BU34" s="274"/>
      <c r="BV34" s="274"/>
      <c r="BW34" s="274"/>
      <c r="BX34" s="274"/>
      <c r="BY34" s="274"/>
      <c r="BZ34" s="274"/>
      <c r="CA34" s="274"/>
      <c r="CB34" s="274"/>
      <c r="CC34" s="274"/>
      <c r="CD34" s="274"/>
      <c r="CE34" s="274"/>
      <c r="CF34" s="274"/>
      <c r="CG34" s="274"/>
      <c r="CH34" s="274"/>
      <c r="CI34" s="274"/>
      <c r="CJ34" s="274"/>
      <c r="CK34" s="274"/>
      <c r="CL34" s="274"/>
      <c r="CM34" s="274"/>
      <c r="CN34" s="274"/>
      <c r="CO34" s="274"/>
      <c r="CP34" s="274"/>
      <c r="CQ34" s="274"/>
      <c r="CR34" s="274"/>
      <c r="CS34" s="274"/>
      <c r="CT34" s="274"/>
      <c r="CU34" s="274"/>
      <c r="CV34" s="274"/>
      <c r="CW34" s="274"/>
      <c r="CX34" s="274"/>
      <c r="CY34" s="274"/>
      <c r="CZ34" s="274"/>
      <c r="DA34" s="274"/>
      <c r="DB34" s="274"/>
      <c r="DC34" s="274"/>
      <c r="DD34" s="274"/>
      <c r="DE34" s="274"/>
      <c r="DF34" s="274"/>
      <c r="DG34" s="274"/>
      <c r="DH34" s="274"/>
      <c r="DI34" s="274"/>
      <c r="DJ34" s="274"/>
      <c r="DK34" s="274"/>
      <c r="DL34" s="274"/>
      <c r="DM34" s="274"/>
      <c r="DN34" s="274"/>
      <c r="DO34" s="274"/>
      <c r="DP34" s="274"/>
      <c r="DQ34" s="274"/>
      <c r="DR34" s="274"/>
      <c r="DS34" s="274"/>
      <c r="DT34" s="274"/>
      <c r="DU34" s="274"/>
      <c r="DV34" s="274"/>
      <c r="DW34" s="274"/>
      <c r="DX34" s="274"/>
      <c r="DY34" s="274"/>
      <c r="DZ34" s="274"/>
      <c r="EA34" s="274"/>
      <c r="EB34" s="274"/>
      <c r="EC34" s="274"/>
      <c r="ED34" s="274"/>
      <c r="EE34" s="274"/>
      <c r="EF34" s="274"/>
      <c r="EG34" s="274"/>
      <c r="EH34" s="274"/>
      <c r="EI34" s="274"/>
      <c r="EJ34" s="274"/>
      <c r="EK34" s="274"/>
      <c r="EL34" s="274"/>
      <c r="EM34" s="274"/>
      <c r="EN34" s="274"/>
      <c r="EO34" s="274"/>
      <c r="EP34" s="274"/>
      <c r="EQ34" s="274"/>
      <c r="ER34" s="274"/>
      <c r="ES34" s="274"/>
      <c r="ET34" s="274"/>
      <c r="EU34" s="274"/>
      <c r="EV34" s="274"/>
      <c r="EW34" s="274"/>
      <c r="EX34" s="274"/>
      <c r="EY34" s="274"/>
      <c r="EZ34" s="274"/>
      <c r="FA34" s="274"/>
      <c r="FB34" s="274"/>
      <c r="FC34" s="274"/>
      <c r="FD34" s="274"/>
      <c r="FE34" s="274"/>
      <c r="FF34" s="274"/>
      <c r="FG34" s="274"/>
      <c r="FH34" s="274"/>
      <c r="FI34" s="274"/>
      <c r="FJ34" s="274"/>
      <c r="FK34" s="274"/>
      <c r="FL34" s="274"/>
      <c r="FM34" s="274"/>
      <c r="FN34" s="274"/>
      <c r="FO34" s="274"/>
      <c r="FP34" s="274"/>
      <c r="FQ34" s="274"/>
      <c r="FR34" s="274"/>
      <c r="FS34" s="274"/>
      <c r="FT34" s="274"/>
      <c r="FU34" s="274"/>
      <c r="FV34" s="274"/>
      <c r="FW34" s="274"/>
      <c r="FX34" s="274"/>
      <c r="FY34" s="274"/>
      <c r="FZ34" s="274"/>
      <c r="GA34" s="274"/>
      <c r="GB34" s="274"/>
      <c r="GC34" s="274"/>
      <c r="GD34" s="274"/>
      <c r="GE34" s="274"/>
      <c r="GF34" s="274"/>
      <c r="GG34" s="274"/>
      <c r="GH34" s="274"/>
      <c r="GI34" s="274"/>
      <c r="GJ34" s="274"/>
      <c r="GK34" s="274"/>
      <c r="GL34" s="274"/>
      <c r="GM34" s="274"/>
      <c r="GN34" s="274"/>
      <c r="GO34" s="274"/>
      <c r="GP34" s="274"/>
      <c r="GQ34" s="274"/>
      <c r="GR34" s="274"/>
      <c r="GS34" s="274"/>
      <c r="GT34" s="274"/>
      <c r="GU34" s="274"/>
      <c r="GV34" s="274"/>
      <c r="GW34" s="274"/>
      <c r="GX34" s="274"/>
      <c r="GY34" s="274"/>
      <c r="GZ34" s="274"/>
      <c r="HA34" s="274"/>
      <c r="HB34" s="274"/>
      <c r="HC34" s="274"/>
      <c r="HD34" s="274"/>
      <c r="HE34" s="274"/>
      <c r="HF34" s="274"/>
      <c r="HG34" s="274"/>
      <c r="HH34" s="274"/>
      <c r="HI34" s="274"/>
      <c r="HJ34" s="274"/>
    </row>
    <row r="35" spans="1:218" ht="24.6" customHeight="1">
      <c r="A35" s="10"/>
      <c r="B35" s="285"/>
      <c r="C35" s="346"/>
      <c r="D35" s="347"/>
      <c r="E35" s="347"/>
      <c r="F35" s="347"/>
      <c r="G35" s="347"/>
      <c r="H35" s="347"/>
      <c r="I35" s="348"/>
      <c r="J35" s="289"/>
      <c r="K35" s="364"/>
      <c r="L35" s="365"/>
      <c r="M35" s="308"/>
      <c r="N35" s="335"/>
      <c r="O35" s="345"/>
      <c r="P35" s="335"/>
      <c r="Q35" s="345"/>
      <c r="R35" s="336"/>
      <c r="S35" s="336"/>
      <c r="T35" s="336"/>
      <c r="U35" s="336"/>
      <c r="V35" s="337"/>
      <c r="W35" s="315"/>
      <c r="X35" s="315"/>
      <c r="Y35" s="315"/>
      <c r="Z35" s="315"/>
      <c r="AA35" s="315"/>
      <c r="AB35" s="315"/>
      <c r="AC35" s="315"/>
      <c r="AD35" s="315"/>
      <c r="AE35" s="315"/>
      <c r="AF35" s="315"/>
      <c r="AG35" s="315"/>
      <c r="AH35" s="315"/>
      <c r="AI35" s="315"/>
      <c r="AJ35" s="315"/>
      <c r="AK35" s="315"/>
      <c r="AL35" s="315"/>
      <c r="AM35" s="315"/>
      <c r="AN35" s="315"/>
      <c r="AO35" s="315"/>
      <c r="AP35" s="315"/>
      <c r="AQ35" s="315"/>
      <c r="AR35" s="315"/>
      <c r="AS35" s="315"/>
      <c r="AT35" s="315"/>
      <c r="AU35" s="315"/>
      <c r="AV35" s="315"/>
      <c r="AW35" s="315"/>
      <c r="AX35" s="315"/>
      <c r="AY35" s="315"/>
      <c r="AZ35" s="315"/>
      <c r="BA35" s="315"/>
      <c r="BB35" s="315"/>
      <c r="BC35" s="315"/>
      <c r="BD35" s="315"/>
      <c r="BE35" s="315"/>
      <c r="BF35" s="315"/>
      <c r="BG35" s="315"/>
      <c r="BH35" s="315"/>
      <c r="BI35" s="315"/>
      <c r="BJ35" s="315"/>
      <c r="BK35" s="315"/>
      <c r="BL35" s="315"/>
      <c r="BM35" s="274"/>
      <c r="BN35" s="274"/>
      <c r="BO35" s="274"/>
      <c r="BP35" s="274"/>
      <c r="BQ35" s="274"/>
      <c r="BR35" s="274"/>
      <c r="BS35" s="274"/>
      <c r="BT35" s="274"/>
      <c r="BU35" s="274"/>
      <c r="BV35" s="274"/>
      <c r="BW35" s="274"/>
      <c r="BX35" s="274"/>
      <c r="BY35" s="274"/>
      <c r="BZ35" s="274"/>
      <c r="CA35" s="274"/>
      <c r="CB35" s="274"/>
      <c r="CC35" s="274"/>
      <c r="CD35" s="274"/>
      <c r="CE35" s="274"/>
      <c r="CF35" s="274"/>
      <c r="CG35" s="274"/>
      <c r="CH35" s="274"/>
      <c r="CI35" s="274"/>
      <c r="CJ35" s="274"/>
      <c r="CK35" s="274"/>
      <c r="CL35" s="274"/>
      <c r="CM35" s="274"/>
      <c r="CN35" s="274"/>
      <c r="CO35" s="274"/>
      <c r="CP35" s="274"/>
      <c r="CQ35" s="274"/>
      <c r="CR35" s="274"/>
      <c r="CS35" s="274"/>
      <c r="CT35" s="274"/>
      <c r="CU35" s="274"/>
      <c r="CV35" s="274"/>
      <c r="CW35" s="274"/>
      <c r="CX35" s="274"/>
      <c r="CY35" s="274"/>
      <c r="CZ35" s="274"/>
      <c r="DA35" s="274"/>
      <c r="DB35" s="274"/>
      <c r="DC35" s="274"/>
      <c r="DD35" s="274"/>
      <c r="DE35" s="274"/>
      <c r="DF35" s="274"/>
      <c r="DG35" s="274"/>
      <c r="DH35" s="274"/>
      <c r="DI35" s="274"/>
      <c r="DJ35" s="274"/>
      <c r="DK35" s="274"/>
      <c r="DL35" s="274"/>
      <c r="DM35" s="274"/>
      <c r="DN35" s="274"/>
      <c r="DO35" s="274"/>
      <c r="DP35" s="274"/>
      <c r="DQ35" s="274"/>
      <c r="DR35" s="274"/>
      <c r="DS35" s="274"/>
      <c r="DT35" s="274"/>
      <c r="DU35" s="274"/>
      <c r="DV35" s="274"/>
      <c r="DW35" s="274"/>
      <c r="DX35" s="274"/>
      <c r="DY35" s="274"/>
      <c r="DZ35" s="274"/>
      <c r="EA35" s="274"/>
      <c r="EB35" s="274"/>
      <c r="EC35" s="274"/>
      <c r="ED35" s="274"/>
      <c r="EE35" s="274"/>
      <c r="EF35" s="274"/>
      <c r="EG35" s="274"/>
      <c r="EH35" s="274"/>
      <c r="EI35" s="274"/>
      <c r="EJ35" s="274"/>
      <c r="EK35" s="274"/>
      <c r="EL35" s="274"/>
      <c r="EM35" s="274"/>
      <c r="EN35" s="274"/>
      <c r="EO35" s="274"/>
      <c r="EP35" s="274"/>
      <c r="EQ35" s="274"/>
      <c r="ER35" s="274"/>
      <c r="ES35" s="274"/>
      <c r="ET35" s="274"/>
      <c r="EU35" s="274"/>
      <c r="EV35" s="274"/>
      <c r="EW35" s="274"/>
      <c r="EX35" s="274"/>
      <c r="EY35" s="274"/>
      <c r="EZ35" s="274"/>
      <c r="FA35" s="274"/>
      <c r="FB35" s="274"/>
      <c r="FC35" s="274"/>
      <c r="FD35" s="274"/>
      <c r="FE35" s="274"/>
      <c r="FF35" s="274"/>
      <c r="FG35" s="274"/>
      <c r="FH35" s="274"/>
      <c r="FI35" s="274"/>
      <c r="FJ35" s="274"/>
      <c r="FK35" s="274"/>
      <c r="FL35" s="274"/>
      <c r="FM35" s="274"/>
      <c r="FN35" s="274"/>
      <c r="FO35" s="274"/>
      <c r="FP35" s="274"/>
      <c r="FQ35" s="274"/>
      <c r="FR35" s="274"/>
      <c r="FS35" s="274"/>
      <c r="FT35" s="274"/>
      <c r="FU35" s="274"/>
      <c r="FV35" s="274"/>
      <c r="FW35" s="274"/>
      <c r="FX35" s="274"/>
      <c r="FY35" s="274"/>
      <c r="FZ35" s="274"/>
      <c r="GA35" s="274"/>
      <c r="GB35" s="274"/>
      <c r="GC35" s="274"/>
      <c r="GD35" s="274"/>
      <c r="GE35" s="274"/>
      <c r="GF35" s="274"/>
      <c r="GG35" s="274"/>
      <c r="GH35" s="274"/>
      <c r="GI35" s="274"/>
      <c r="GJ35" s="274"/>
      <c r="GK35" s="274"/>
      <c r="GL35" s="274"/>
      <c r="GM35" s="274"/>
      <c r="GN35" s="274"/>
      <c r="GO35" s="274"/>
      <c r="GP35" s="274"/>
      <c r="GQ35" s="274"/>
      <c r="GR35" s="274"/>
      <c r="GS35" s="274"/>
      <c r="GT35" s="274"/>
      <c r="GU35" s="274"/>
      <c r="GV35" s="274"/>
      <c r="GW35" s="274"/>
      <c r="GX35" s="274"/>
      <c r="GY35" s="274"/>
      <c r="GZ35" s="274"/>
      <c r="HA35" s="274"/>
      <c r="HB35" s="274"/>
      <c r="HC35" s="274"/>
      <c r="HD35" s="274"/>
      <c r="HE35" s="274"/>
      <c r="HF35" s="274"/>
      <c r="HG35" s="274"/>
      <c r="HH35" s="274"/>
      <c r="HI35" s="274"/>
      <c r="HJ35" s="274"/>
    </row>
    <row r="36" spans="1:218" ht="24.6" customHeight="1">
      <c r="A36" s="10"/>
      <c r="B36" s="285"/>
      <c r="C36" s="346"/>
      <c r="D36" s="347"/>
      <c r="E36" s="347"/>
      <c r="F36" s="347"/>
      <c r="G36" s="347"/>
      <c r="H36" s="347"/>
      <c r="I36" s="348"/>
      <c r="J36" s="289"/>
      <c r="K36" s="364"/>
      <c r="L36" s="365"/>
      <c r="M36" s="308"/>
      <c r="N36" s="335"/>
      <c r="O36" s="345"/>
      <c r="P36" s="335"/>
      <c r="Q36" s="345"/>
      <c r="R36" s="336"/>
      <c r="S36" s="336"/>
      <c r="T36" s="336"/>
      <c r="U36" s="336"/>
      <c r="V36" s="337"/>
      <c r="W36" s="315"/>
      <c r="X36" s="315"/>
      <c r="Y36" s="315"/>
      <c r="Z36" s="315"/>
      <c r="AA36" s="315"/>
      <c r="AB36" s="315"/>
      <c r="AC36" s="315"/>
      <c r="AD36" s="315"/>
      <c r="AE36" s="315"/>
      <c r="AF36" s="315"/>
      <c r="AG36" s="315"/>
      <c r="AH36" s="315"/>
      <c r="AI36" s="315"/>
      <c r="AJ36" s="315"/>
      <c r="AK36" s="315"/>
      <c r="AL36" s="315"/>
      <c r="AM36" s="315"/>
      <c r="AN36" s="315"/>
      <c r="AO36" s="315"/>
      <c r="AP36" s="315"/>
      <c r="AQ36" s="315"/>
      <c r="AR36" s="315"/>
      <c r="AS36" s="315"/>
      <c r="AT36" s="315"/>
      <c r="AU36" s="315"/>
      <c r="AV36" s="315"/>
      <c r="AW36" s="315"/>
      <c r="AX36" s="315"/>
      <c r="AY36" s="315"/>
      <c r="AZ36" s="315"/>
      <c r="BA36" s="315"/>
      <c r="BB36" s="315"/>
      <c r="BC36" s="315"/>
      <c r="BD36" s="315"/>
      <c r="BE36" s="315"/>
      <c r="BF36" s="315"/>
      <c r="BG36" s="315"/>
      <c r="BH36" s="315"/>
      <c r="BI36" s="315"/>
      <c r="BJ36" s="315"/>
      <c r="BK36" s="315"/>
      <c r="BL36" s="315"/>
      <c r="BM36" s="274"/>
      <c r="BN36" s="274"/>
      <c r="BO36" s="274"/>
      <c r="BP36" s="274"/>
      <c r="BQ36" s="274"/>
      <c r="BR36" s="274"/>
      <c r="BS36" s="274"/>
      <c r="BT36" s="274"/>
      <c r="BU36" s="274"/>
      <c r="BV36" s="274"/>
      <c r="BW36" s="274"/>
      <c r="BX36" s="274"/>
      <c r="BY36" s="274"/>
      <c r="BZ36" s="274"/>
      <c r="CA36" s="274"/>
      <c r="CB36" s="274"/>
      <c r="CC36" s="274"/>
      <c r="CD36" s="274"/>
      <c r="CE36" s="274"/>
      <c r="CF36" s="274"/>
      <c r="CG36" s="274"/>
      <c r="CH36" s="274"/>
      <c r="CI36" s="274"/>
      <c r="CJ36" s="274"/>
      <c r="CK36" s="274"/>
      <c r="CL36" s="274"/>
      <c r="CM36" s="274"/>
      <c r="CN36" s="274"/>
      <c r="CO36" s="274"/>
      <c r="CP36" s="274"/>
      <c r="CQ36" s="274"/>
      <c r="CR36" s="274"/>
      <c r="CS36" s="274"/>
      <c r="CT36" s="274"/>
      <c r="CU36" s="274"/>
      <c r="CV36" s="274"/>
      <c r="CW36" s="274"/>
      <c r="CX36" s="274"/>
      <c r="CY36" s="274"/>
      <c r="CZ36" s="274"/>
      <c r="DA36" s="274"/>
      <c r="DB36" s="274"/>
      <c r="DC36" s="274"/>
      <c r="DD36" s="274"/>
      <c r="DE36" s="274"/>
      <c r="DF36" s="274"/>
      <c r="DG36" s="274"/>
      <c r="DH36" s="274"/>
      <c r="DI36" s="274"/>
      <c r="DJ36" s="274"/>
      <c r="DK36" s="274"/>
      <c r="DL36" s="274"/>
      <c r="DM36" s="274"/>
      <c r="DN36" s="274"/>
      <c r="DO36" s="274"/>
      <c r="DP36" s="274"/>
      <c r="DQ36" s="274"/>
      <c r="DR36" s="274"/>
      <c r="DS36" s="274"/>
      <c r="DT36" s="274"/>
      <c r="DU36" s="274"/>
      <c r="DV36" s="274"/>
      <c r="DW36" s="274"/>
      <c r="DX36" s="274"/>
      <c r="DY36" s="274"/>
      <c r="DZ36" s="274"/>
      <c r="EA36" s="274"/>
      <c r="EB36" s="274"/>
      <c r="EC36" s="274"/>
      <c r="ED36" s="274"/>
      <c r="EE36" s="274"/>
      <c r="EF36" s="274"/>
      <c r="EG36" s="274"/>
      <c r="EH36" s="274"/>
      <c r="EI36" s="274"/>
      <c r="EJ36" s="274"/>
      <c r="EK36" s="274"/>
      <c r="EL36" s="274"/>
      <c r="EM36" s="274"/>
      <c r="EN36" s="274"/>
      <c r="EO36" s="274"/>
      <c r="EP36" s="274"/>
      <c r="EQ36" s="274"/>
      <c r="ER36" s="274"/>
      <c r="ES36" s="274"/>
      <c r="ET36" s="274"/>
      <c r="EU36" s="274"/>
      <c r="EV36" s="274"/>
      <c r="EW36" s="274"/>
      <c r="EX36" s="274"/>
      <c r="EY36" s="274"/>
      <c r="EZ36" s="274"/>
      <c r="FA36" s="274"/>
      <c r="FB36" s="274"/>
      <c r="FC36" s="274"/>
      <c r="FD36" s="274"/>
      <c r="FE36" s="274"/>
      <c r="FF36" s="274"/>
      <c r="FG36" s="274"/>
      <c r="FH36" s="274"/>
      <c r="FI36" s="274"/>
      <c r="FJ36" s="274"/>
      <c r="FK36" s="274"/>
      <c r="FL36" s="274"/>
      <c r="FM36" s="274"/>
      <c r="FN36" s="274"/>
      <c r="FO36" s="274"/>
      <c r="FP36" s="274"/>
      <c r="FQ36" s="274"/>
      <c r="FR36" s="274"/>
      <c r="FS36" s="274"/>
      <c r="FT36" s="274"/>
      <c r="FU36" s="274"/>
      <c r="FV36" s="274"/>
      <c r="FW36" s="274"/>
      <c r="FX36" s="274"/>
      <c r="FY36" s="274"/>
      <c r="FZ36" s="274"/>
      <c r="GA36" s="274"/>
      <c r="GB36" s="274"/>
      <c r="GC36" s="274"/>
      <c r="GD36" s="274"/>
      <c r="GE36" s="274"/>
      <c r="GF36" s="274"/>
      <c r="GG36" s="274"/>
      <c r="GH36" s="274"/>
      <c r="GI36" s="274"/>
      <c r="GJ36" s="274"/>
      <c r="GK36" s="274"/>
      <c r="GL36" s="274"/>
      <c r="GM36" s="274"/>
      <c r="GN36" s="274"/>
      <c r="GO36" s="274"/>
      <c r="GP36" s="274"/>
      <c r="GQ36" s="274"/>
      <c r="GR36" s="274"/>
      <c r="GS36" s="274"/>
      <c r="GT36" s="274"/>
      <c r="GU36" s="274"/>
      <c r="GV36" s="274"/>
      <c r="GW36" s="274"/>
      <c r="GX36" s="274"/>
      <c r="GY36" s="274"/>
      <c r="GZ36" s="274"/>
      <c r="HA36" s="274"/>
      <c r="HB36" s="274"/>
      <c r="HC36" s="274"/>
      <c r="HD36" s="274"/>
      <c r="HE36" s="274"/>
      <c r="HF36" s="274"/>
      <c r="HG36" s="274"/>
      <c r="HH36" s="274"/>
      <c r="HI36" s="274"/>
      <c r="HJ36" s="274"/>
    </row>
    <row r="37" spans="1:218" ht="25.5" customHeight="1">
      <c r="A37" s="10"/>
      <c r="B37" s="285"/>
      <c r="C37" s="346"/>
      <c r="D37" s="347"/>
      <c r="E37" s="347"/>
      <c r="F37" s="347"/>
      <c r="G37" s="347"/>
      <c r="H37" s="347"/>
      <c r="I37" s="348"/>
      <c r="J37" s="289"/>
      <c r="K37" s="364"/>
      <c r="L37" s="365"/>
      <c r="M37" s="308"/>
      <c r="N37" s="335"/>
      <c r="O37" s="345"/>
      <c r="P37" s="335"/>
      <c r="Q37" s="345"/>
      <c r="R37" s="336"/>
      <c r="S37" s="336"/>
      <c r="T37" s="336"/>
      <c r="U37" s="336"/>
      <c r="V37" s="337"/>
      <c r="W37" s="315"/>
      <c r="X37" s="315"/>
      <c r="Y37" s="315"/>
      <c r="Z37" s="315"/>
      <c r="AA37" s="315"/>
      <c r="AB37" s="315"/>
      <c r="AC37" s="315"/>
      <c r="AD37" s="315"/>
      <c r="AE37" s="315"/>
      <c r="AF37" s="315"/>
      <c r="AG37" s="315"/>
      <c r="AH37" s="315"/>
      <c r="AI37" s="315"/>
      <c r="AJ37" s="315"/>
      <c r="AK37" s="315"/>
      <c r="AL37" s="315"/>
      <c r="AM37" s="315"/>
      <c r="AN37" s="315"/>
      <c r="AO37" s="315"/>
      <c r="AP37" s="315"/>
      <c r="AQ37" s="315"/>
      <c r="AR37" s="315"/>
      <c r="AS37" s="315"/>
      <c r="AT37" s="315"/>
      <c r="AU37" s="315"/>
      <c r="AV37" s="315"/>
      <c r="AW37" s="315"/>
      <c r="AX37" s="315"/>
      <c r="AY37" s="315"/>
      <c r="AZ37" s="315"/>
      <c r="BA37" s="315"/>
      <c r="BB37" s="315"/>
      <c r="BC37" s="315"/>
      <c r="BD37" s="315"/>
      <c r="BE37" s="315"/>
      <c r="BF37" s="315"/>
      <c r="BG37" s="315"/>
      <c r="BH37" s="315"/>
      <c r="BI37" s="315"/>
      <c r="BJ37" s="315"/>
      <c r="BK37" s="315"/>
      <c r="BL37" s="315"/>
      <c r="BM37" s="274"/>
      <c r="BN37" s="274"/>
      <c r="BO37" s="274"/>
      <c r="BP37" s="274"/>
      <c r="BQ37" s="274"/>
      <c r="BR37" s="274"/>
      <c r="BS37" s="274"/>
      <c r="BT37" s="274"/>
      <c r="BU37" s="274"/>
      <c r="BV37" s="274"/>
      <c r="BW37" s="274"/>
      <c r="BX37" s="274"/>
      <c r="BY37" s="274"/>
      <c r="BZ37" s="274"/>
      <c r="CA37" s="274"/>
      <c r="CB37" s="274"/>
      <c r="CC37" s="274"/>
      <c r="CD37" s="274"/>
      <c r="CE37" s="274"/>
      <c r="CF37" s="274"/>
      <c r="CG37" s="274"/>
      <c r="CH37" s="274"/>
      <c r="CI37" s="274"/>
      <c r="CJ37" s="274"/>
      <c r="CK37" s="274"/>
      <c r="CL37" s="274"/>
      <c r="CM37" s="274"/>
      <c r="CN37" s="274"/>
      <c r="CO37" s="274"/>
      <c r="CP37" s="274"/>
      <c r="CQ37" s="274"/>
      <c r="CR37" s="274"/>
      <c r="CS37" s="274"/>
      <c r="CT37" s="274"/>
      <c r="CU37" s="274"/>
      <c r="CV37" s="274"/>
      <c r="CW37" s="274"/>
      <c r="CX37" s="274"/>
      <c r="CY37" s="274"/>
      <c r="CZ37" s="274"/>
      <c r="DA37" s="274"/>
      <c r="DB37" s="274"/>
      <c r="DC37" s="274"/>
      <c r="DD37" s="274"/>
      <c r="DE37" s="274"/>
      <c r="DF37" s="274"/>
      <c r="DG37" s="274"/>
      <c r="DH37" s="274"/>
      <c r="DI37" s="274"/>
      <c r="DJ37" s="274"/>
      <c r="DK37" s="274"/>
      <c r="DL37" s="274"/>
      <c r="DM37" s="274"/>
      <c r="DN37" s="274"/>
      <c r="DO37" s="274"/>
      <c r="DP37" s="274"/>
      <c r="DQ37" s="274"/>
      <c r="DR37" s="274"/>
      <c r="DS37" s="274"/>
      <c r="DT37" s="274"/>
      <c r="DU37" s="274"/>
      <c r="DV37" s="274"/>
      <c r="DW37" s="274"/>
      <c r="DX37" s="274"/>
      <c r="DY37" s="274"/>
      <c r="DZ37" s="274"/>
      <c r="EA37" s="274"/>
      <c r="EB37" s="274"/>
      <c r="EC37" s="274"/>
      <c r="ED37" s="274"/>
      <c r="EE37" s="274"/>
      <c r="EF37" s="274"/>
      <c r="EG37" s="274"/>
      <c r="EH37" s="274"/>
      <c r="EI37" s="274"/>
      <c r="EJ37" s="274"/>
      <c r="EK37" s="274"/>
      <c r="EL37" s="274"/>
      <c r="EM37" s="274"/>
      <c r="EN37" s="274"/>
      <c r="EO37" s="274"/>
      <c r="EP37" s="274"/>
      <c r="EQ37" s="274"/>
      <c r="ER37" s="274"/>
      <c r="ES37" s="274"/>
      <c r="ET37" s="274"/>
      <c r="EU37" s="274"/>
      <c r="EV37" s="274"/>
      <c r="EW37" s="274"/>
      <c r="EX37" s="274"/>
      <c r="EY37" s="274"/>
      <c r="EZ37" s="274"/>
      <c r="FA37" s="274"/>
      <c r="FB37" s="274"/>
      <c r="FC37" s="274"/>
      <c r="FD37" s="274"/>
      <c r="FE37" s="274"/>
      <c r="FF37" s="274"/>
      <c r="FG37" s="274"/>
      <c r="FH37" s="274"/>
      <c r="FI37" s="274"/>
      <c r="FJ37" s="274"/>
      <c r="FK37" s="274"/>
      <c r="FL37" s="274"/>
      <c r="FM37" s="274"/>
      <c r="FN37" s="274"/>
      <c r="FO37" s="274"/>
      <c r="FP37" s="274"/>
      <c r="FQ37" s="274"/>
      <c r="FR37" s="274"/>
      <c r="FS37" s="274"/>
      <c r="FT37" s="274"/>
      <c r="FU37" s="274"/>
      <c r="FV37" s="274"/>
      <c r="FW37" s="274"/>
      <c r="FX37" s="274"/>
      <c r="FY37" s="274"/>
      <c r="FZ37" s="274"/>
      <c r="GA37" s="274"/>
      <c r="GB37" s="274"/>
      <c r="GC37" s="274"/>
      <c r="GD37" s="274"/>
      <c r="GE37" s="274"/>
      <c r="GF37" s="274"/>
      <c r="GG37" s="274"/>
      <c r="GH37" s="274"/>
      <c r="GI37" s="274"/>
      <c r="GJ37" s="274"/>
      <c r="GK37" s="274"/>
      <c r="GL37" s="274"/>
      <c r="GM37" s="274"/>
      <c r="GN37" s="274"/>
      <c r="GO37" s="274"/>
      <c r="GP37" s="274"/>
      <c r="GQ37" s="274"/>
      <c r="GR37" s="274"/>
      <c r="GS37" s="274"/>
      <c r="GT37" s="274"/>
      <c r="GU37" s="274"/>
      <c r="GV37" s="274"/>
      <c r="GW37" s="274"/>
      <c r="GX37" s="274"/>
      <c r="GY37" s="274"/>
      <c r="GZ37" s="274"/>
      <c r="HA37" s="274"/>
      <c r="HB37" s="274"/>
      <c r="HC37" s="274"/>
      <c r="HD37" s="274"/>
      <c r="HE37" s="274"/>
      <c r="HF37" s="274"/>
      <c r="HG37" s="274"/>
      <c r="HH37" s="274"/>
      <c r="HI37" s="274"/>
      <c r="HJ37" s="274"/>
    </row>
    <row r="38" spans="1:218" ht="25.5" customHeight="1">
      <c r="A38" s="10"/>
      <c r="B38" s="285"/>
      <c r="C38" s="346"/>
      <c r="D38" s="347"/>
      <c r="E38" s="347"/>
      <c r="F38" s="347"/>
      <c r="G38" s="347"/>
      <c r="H38" s="347"/>
      <c r="I38" s="348"/>
      <c r="J38" s="289"/>
      <c r="K38" s="364"/>
      <c r="L38" s="365"/>
      <c r="M38" s="308"/>
      <c r="N38" s="335"/>
      <c r="O38" s="345"/>
      <c r="P38" s="335"/>
      <c r="Q38" s="345"/>
      <c r="R38" s="336"/>
      <c r="S38" s="336"/>
      <c r="T38" s="336"/>
      <c r="U38" s="336"/>
      <c r="V38" s="337"/>
      <c r="W38" s="315"/>
      <c r="X38" s="315"/>
      <c r="Y38" s="315"/>
      <c r="Z38" s="315"/>
      <c r="AA38" s="315"/>
      <c r="AB38" s="315"/>
      <c r="AC38" s="315"/>
      <c r="AD38" s="315"/>
      <c r="AE38" s="315"/>
      <c r="AF38" s="315"/>
      <c r="AG38" s="315"/>
      <c r="AH38" s="315"/>
      <c r="AI38" s="315"/>
      <c r="AJ38" s="315"/>
      <c r="AK38" s="315"/>
      <c r="AL38" s="315"/>
      <c r="AM38" s="315"/>
      <c r="AN38" s="315"/>
      <c r="AO38" s="315"/>
      <c r="AP38" s="315"/>
      <c r="AQ38" s="315"/>
      <c r="AR38" s="315"/>
      <c r="AS38" s="315"/>
      <c r="AT38" s="315"/>
      <c r="AU38" s="315"/>
      <c r="AV38" s="315"/>
      <c r="AW38" s="315"/>
      <c r="AX38" s="315"/>
      <c r="AY38" s="315"/>
      <c r="AZ38" s="315"/>
      <c r="BA38" s="315"/>
      <c r="BB38" s="315"/>
      <c r="BC38" s="315"/>
      <c r="BD38" s="315"/>
      <c r="BE38" s="315"/>
      <c r="BF38" s="315"/>
      <c r="BG38" s="315"/>
      <c r="BH38" s="315"/>
      <c r="BI38" s="315"/>
      <c r="BJ38" s="315"/>
      <c r="BK38" s="315"/>
      <c r="BL38" s="315"/>
      <c r="BM38" s="274"/>
      <c r="BN38" s="274"/>
      <c r="BO38" s="274"/>
      <c r="BP38" s="274"/>
      <c r="BQ38" s="274"/>
      <c r="BR38" s="274"/>
      <c r="BS38" s="274"/>
      <c r="BT38" s="274"/>
      <c r="BU38" s="274"/>
      <c r="BV38" s="274"/>
      <c r="BW38" s="274"/>
      <c r="BX38" s="274"/>
      <c r="BY38" s="274"/>
      <c r="BZ38" s="274"/>
      <c r="CA38" s="274"/>
      <c r="CB38" s="274"/>
      <c r="CC38" s="274"/>
      <c r="CD38" s="274"/>
      <c r="CE38" s="274"/>
      <c r="CF38" s="274"/>
      <c r="CG38" s="274"/>
      <c r="CH38" s="274"/>
      <c r="CI38" s="274"/>
      <c r="CJ38" s="274"/>
      <c r="CK38" s="274"/>
      <c r="CL38" s="274"/>
      <c r="CM38" s="274"/>
      <c r="CN38" s="274"/>
      <c r="CO38" s="274"/>
      <c r="CP38" s="274"/>
      <c r="CQ38" s="274"/>
      <c r="CR38" s="274"/>
      <c r="CS38" s="274"/>
      <c r="CT38" s="274"/>
      <c r="CU38" s="274"/>
      <c r="CV38" s="274"/>
      <c r="CW38" s="274"/>
      <c r="CX38" s="274"/>
      <c r="CY38" s="274"/>
      <c r="CZ38" s="274"/>
      <c r="DA38" s="274"/>
      <c r="DB38" s="274"/>
      <c r="DC38" s="274"/>
      <c r="DD38" s="274"/>
      <c r="DE38" s="274"/>
      <c r="DF38" s="274"/>
      <c r="DG38" s="274"/>
      <c r="DH38" s="274"/>
      <c r="DI38" s="274"/>
      <c r="DJ38" s="274"/>
      <c r="DK38" s="274"/>
      <c r="DL38" s="274"/>
      <c r="DM38" s="274"/>
      <c r="DN38" s="274"/>
      <c r="DO38" s="274"/>
      <c r="DP38" s="274"/>
      <c r="DQ38" s="274"/>
      <c r="DR38" s="274"/>
      <c r="DS38" s="274"/>
      <c r="DT38" s="274"/>
      <c r="DU38" s="274"/>
      <c r="DV38" s="274"/>
      <c r="DW38" s="274"/>
      <c r="DX38" s="274"/>
      <c r="DY38" s="274"/>
      <c r="DZ38" s="274"/>
      <c r="EA38" s="274"/>
      <c r="EB38" s="274"/>
      <c r="EC38" s="274"/>
      <c r="ED38" s="274"/>
      <c r="EE38" s="274"/>
      <c r="EF38" s="274"/>
      <c r="EG38" s="274"/>
      <c r="EH38" s="274"/>
      <c r="EI38" s="274"/>
      <c r="EJ38" s="274"/>
      <c r="EK38" s="274"/>
      <c r="EL38" s="274"/>
      <c r="EM38" s="274"/>
      <c r="EN38" s="274"/>
      <c r="EO38" s="274"/>
      <c r="EP38" s="274"/>
      <c r="EQ38" s="274"/>
      <c r="ER38" s="274"/>
      <c r="ES38" s="274"/>
      <c r="ET38" s="274"/>
      <c r="EU38" s="274"/>
      <c r="EV38" s="274"/>
      <c r="EW38" s="274"/>
      <c r="EX38" s="274"/>
      <c r="EY38" s="274"/>
      <c r="EZ38" s="274"/>
      <c r="FA38" s="274"/>
      <c r="FB38" s="274"/>
      <c r="FC38" s="274"/>
      <c r="FD38" s="274"/>
      <c r="FE38" s="274"/>
      <c r="FF38" s="274"/>
      <c r="FG38" s="274"/>
      <c r="FH38" s="274"/>
      <c r="FI38" s="274"/>
      <c r="FJ38" s="274"/>
      <c r="FK38" s="274"/>
      <c r="FL38" s="274"/>
      <c r="FM38" s="274"/>
      <c r="FN38" s="274"/>
      <c r="FO38" s="274"/>
      <c r="FP38" s="274"/>
      <c r="FQ38" s="274"/>
      <c r="FR38" s="274"/>
      <c r="FS38" s="274"/>
      <c r="FT38" s="274"/>
      <c r="FU38" s="274"/>
      <c r="FV38" s="274"/>
      <c r="FW38" s="274"/>
      <c r="FX38" s="274"/>
      <c r="FY38" s="274"/>
      <c r="FZ38" s="274"/>
      <c r="GA38" s="274"/>
      <c r="GB38" s="274"/>
      <c r="GC38" s="274"/>
      <c r="GD38" s="274"/>
      <c r="GE38" s="274"/>
      <c r="GF38" s="274"/>
      <c r="GG38" s="274"/>
      <c r="GH38" s="274"/>
      <c r="GI38" s="274"/>
      <c r="GJ38" s="274"/>
      <c r="GK38" s="274"/>
      <c r="GL38" s="274"/>
      <c r="GM38" s="274"/>
      <c r="GN38" s="274"/>
      <c r="GO38" s="274"/>
      <c r="GP38" s="274"/>
      <c r="GQ38" s="274"/>
      <c r="GR38" s="274"/>
      <c r="GS38" s="274"/>
      <c r="GT38" s="274"/>
      <c r="GU38" s="274"/>
      <c r="GV38" s="274"/>
      <c r="GW38" s="274"/>
      <c r="GX38" s="274"/>
      <c r="GY38" s="274"/>
      <c r="GZ38" s="274"/>
      <c r="HA38" s="274"/>
      <c r="HB38" s="274"/>
      <c r="HC38" s="274"/>
      <c r="HD38" s="274"/>
      <c r="HE38" s="274"/>
      <c r="HF38" s="274"/>
      <c r="HG38" s="274"/>
      <c r="HH38" s="274"/>
      <c r="HI38" s="274"/>
      <c r="HJ38" s="274"/>
    </row>
    <row r="39" spans="1:218" ht="26.25" customHeight="1">
      <c r="A39" s="10"/>
      <c r="B39" s="285"/>
      <c r="C39" s="346"/>
      <c r="D39" s="347"/>
      <c r="E39" s="347"/>
      <c r="F39" s="347"/>
      <c r="G39" s="347"/>
      <c r="H39" s="347"/>
      <c r="I39" s="348"/>
      <c r="J39" s="289"/>
      <c r="K39" s="364"/>
      <c r="L39" s="365"/>
      <c r="M39" s="308"/>
      <c r="N39" s="335"/>
      <c r="O39" s="345"/>
      <c r="P39" s="335"/>
      <c r="Q39" s="345"/>
      <c r="R39" s="336"/>
      <c r="S39" s="336"/>
      <c r="T39" s="336"/>
      <c r="U39" s="336"/>
      <c r="V39" s="337"/>
      <c r="W39" s="315"/>
      <c r="X39" s="315"/>
      <c r="Y39" s="315"/>
      <c r="Z39" s="315"/>
      <c r="AA39" s="315"/>
      <c r="AB39" s="315"/>
      <c r="AC39" s="315"/>
      <c r="AD39" s="315"/>
      <c r="AE39" s="315"/>
      <c r="AF39" s="315"/>
      <c r="AG39" s="315"/>
      <c r="AH39" s="315"/>
      <c r="AI39" s="315"/>
      <c r="AJ39" s="315"/>
      <c r="AK39" s="315"/>
      <c r="AL39" s="315"/>
      <c r="AM39" s="315"/>
      <c r="AN39" s="315"/>
      <c r="AO39" s="315"/>
      <c r="AP39" s="315"/>
      <c r="AQ39" s="315"/>
      <c r="AR39" s="315"/>
      <c r="AS39" s="315"/>
      <c r="AT39" s="315"/>
      <c r="AU39" s="315"/>
      <c r="AV39" s="315"/>
      <c r="AW39" s="315"/>
      <c r="AX39" s="315"/>
      <c r="AY39" s="315"/>
      <c r="AZ39" s="315"/>
      <c r="BA39" s="315"/>
      <c r="BB39" s="315"/>
      <c r="BC39" s="315"/>
      <c r="BD39" s="315"/>
      <c r="BE39" s="315"/>
      <c r="BF39" s="315"/>
      <c r="BG39" s="315"/>
      <c r="BH39" s="315"/>
      <c r="BI39" s="315"/>
      <c r="BJ39" s="315"/>
      <c r="BK39" s="315"/>
      <c r="BL39" s="315"/>
      <c r="BM39" s="274"/>
      <c r="BN39" s="274"/>
      <c r="BO39" s="274"/>
      <c r="BP39" s="274"/>
      <c r="BQ39" s="274"/>
      <c r="BR39" s="274"/>
      <c r="BS39" s="274"/>
      <c r="BT39" s="274"/>
      <c r="BU39" s="274"/>
      <c r="BV39" s="274"/>
      <c r="BW39" s="274"/>
      <c r="BX39" s="274"/>
      <c r="BY39" s="274"/>
      <c r="BZ39" s="274"/>
      <c r="CA39" s="274"/>
      <c r="CB39" s="274"/>
      <c r="CC39" s="274"/>
      <c r="CD39" s="274"/>
      <c r="CE39" s="274"/>
      <c r="CF39" s="274"/>
      <c r="CG39" s="274"/>
      <c r="CH39" s="274"/>
      <c r="CI39" s="274"/>
      <c r="CJ39" s="274"/>
      <c r="CK39" s="274"/>
      <c r="CL39" s="274"/>
      <c r="CM39" s="274"/>
      <c r="CN39" s="274"/>
      <c r="CO39" s="274"/>
      <c r="CP39" s="274"/>
      <c r="CQ39" s="274"/>
      <c r="CR39" s="274"/>
      <c r="CS39" s="274"/>
      <c r="CT39" s="274"/>
      <c r="CU39" s="274"/>
      <c r="CV39" s="274"/>
      <c r="CW39" s="274"/>
      <c r="CX39" s="274"/>
      <c r="CY39" s="274"/>
      <c r="CZ39" s="274"/>
      <c r="DA39" s="274"/>
      <c r="DB39" s="274"/>
      <c r="DC39" s="274"/>
      <c r="DD39" s="274"/>
      <c r="DE39" s="274"/>
      <c r="DF39" s="274"/>
      <c r="DG39" s="274"/>
      <c r="DH39" s="274"/>
      <c r="DI39" s="274"/>
      <c r="DJ39" s="274"/>
      <c r="DK39" s="274"/>
      <c r="DL39" s="274"/>
      <c r="DM39" s="274"/>
      <c r="DN39" s="274"/>
      <c r="DO39" s="274"/>
      <c r="DP39" s="274"/>
      <c r="DQ39" s="274"/>
      <c r="DR39" s="274"/>
      <c r="DS39" s="274"/>
      <c r="DT39" s="274"/>
      <c r="DU39" s="274"/>
      <c r="DV39" s="274"/>
      <c r="DW39" s="274"/>
      <c r="DX39" s="274"/>
      <c r="DY39" s="274"/>
      <c r="DZ39" s="274"/>
      <c r="EA39" s="274"/>
      <c r="EB39" s="274"/>
      <c r="EC39" s="274"/>
      <c r="ED39" s="274"/>
      <c r="EE39" s="274"/>
      <c r="EF39" s="274"/>
      <c r="EG39" s="274"/>
      <c r="EH39" s="274"/>
      <c r="EI39" s="274"/>
      <c r="EJ39" s="274"/>
      <c r="EK39" s="274"/>
      <c r="EL39" s="274"/>
      <c r="EM39" s="274"/>
      <c r="EN39" s="274"/>
      <c r="EO39" s="274"/>
      <c r="EP39" s="274"/>
      <c r="EQ39" s="274"/>
      <c r="ER39" s="274"/>
      <c r="ES39" s="274"/>
      <c r="ET39" s="274"/>
      <c r="EU39" s="274"/>
      <c r="EV39" s="274"/>
      <c r="EW39" s="274"/>
      <c r="EX39" s="274"/>
      <c r="EY39" s="274"/>
      <c r="EZ39" s="274"/>
      <c r="FA39" s="274"/>
      <c r="FB39" s="274"/>
      <c r="FC39" s="274"/>
      <c r="FD39" s="274"/>
      <c r="FE39" s="274"/>
      <c r="FF39" s="274"/>
      <c r="FG39" s="274"/>
      <c r="FH39" s="274"/>
      <c r="FI39" s="274"/>
      <c r="FJ39" s="274"/>
      <c r="FK39" s="274"/>
      <c r="FL39" s="274"/>
      <c r="FM39" s="274"/>
      <c r="FN39" s="274"/>
      <c r="FO39" s="274"/>
      <c r="FP39" s="274"/>
      <c r="FQ39" s="274"/>
      <c r="FR39" s="274"/>
      <c r="FS39" s="274"/>
      <c r="FT39" s="274"/>
      <c r="FU39" s="274"/>
      <c r="FV39" s="274"/>
      <c r="FW39" s="274"/>
      <c r="FX39" s="274"/>
      <c r="FY39" s="274"/>
      <c r="FZ39" s="274"/>
      <c r="GA39" s="274"/>
      <c r="GB39" s="274"/>
      <c r="GC39" s="274"/>
      <c r="GD39" s="274"/>
      <c r="GE39" s="274"/>
      <c r="GF39" s="274"/>
      <c r="GG39" s="274"/>
      <c r="GH39" s="274"/>
      <c r="GI39" s="274"/>
      <c r="GJ39" s="274"/>
      <c r="GK39" s="274"/>
      <c r="GL39" s="274"/>
      <c r="GM39" s="274"/>
      <c r="GN39" s="274"/>
      <c r="GO39" s="274"/>
      <c r="GP39" s="274"/>
      <c r="GQ39" s="274"/>
      <c r="GR39" s="274"/>
      <c r="GS39" s="274"/>
      <c r="GT39" s="274"/>
      <c r="GU39" s="274"/>
      <c r="GV39" s="274"/>
      <c r="GW39" s="274"/>
      <c r="GX39" s="274"/>
      <c r="GY39" s="274"/>
      <c r="GZ39" s="274"/>
      <c r="HA39" s="274"/>
      <c r="HB39" s="274"/>
      <c r="HC39" s="274"/>
      <c r="HD39" s="274"/>
      <c r="HE39" s="274"/>
      <c r="HF39" s="274"/>
      <c r="HG39" s="274"/>
      <c r="HH39" s="274"/>
      <c r="HI39" s="274"/>
      <c r="HJ39" s="274"/>
    </row>
    <row r="40" spans="1:218" ht="21.75" customHeight="1">
      <c r="A40" s="13"/>
      <c r="B40" s="285"/>
      <c r="C40" s="346"/>
      <c r="D40" s="347"/>
      <c r="E40" s="347"/>
      <c r="F40" s="347"/>
      <c r="G40" s="347"/>
      <c r="H40" s="347"/>
      <c r="I40" s="348"/>
      <c r="J40" s="289"/>
      <c r="K40" s="364"/>
      <c r="L40" s="365"/>
      <c r="M40" s="309"/>
      <c r="N40" s="335"/>
      <c r="O40" s="345"/>
      <c r="P40" s="335"/>
      <c r="Q40" s="345"/>
      <c r="R40" s="343"/>
      <c r="S40" s="343"/>
      <c r="T40" s="343"/>
      <c r="U40" s="336"/>
      <c r="V40" s="337"/>
      <c r="W40" s="315"/>
      <c r="X40" s="315"/>
      <c r="Y40" s="315"/>
      <c r="Z40" s="315"/>
      <c r="AA40" s="315"/>
      <c r="AB40" s="315"/>
      <c r="AC40" s="315"/>
      <c r="AD40" s="315"/>
      <c r="AE40" s="315"/>
      <c r="AF40" s="315"/>
      <c r="AG40" s="315"/>
      <c r="AH40" s="315"/>
      <c r="AI40" s="315"/>
      <c r="AJ40" s="315"/>
      <c r="AK40" s="315"/>
      <c r="AL40" s="315"/>
      <c r="AM40" s="315"/>
      <c r="AN40" s="315"/>
      <c r="AO40" s="315"/>
      <c r="AP40" s="315"/>
      <c r="AQ40" s="315"/>
      <c r="AR40" s="315"/>
      <c r="AS40" s="315"/>
      <c r="AT40" s="315"/>
      <c r="AU40" s="315"/>
      <c r="AV40" s="315"/>
      <c r="AW40" s="315"/>
      <c r="AX40" s="315"/>
      <c r="AY40" s="315"/>
      <c r="AZ40" s="315"/>
      <c r="BA40" s="315"/>
      <c r="BB40" s="315"/>
      <c r="BC40" s="315"/>
      <c r="BD40" s="315"/>
      <c r="BE40" s="315"/>
      <c r="BF40" s="315"/>
      <c r="BG40" s="315"/>
      <c r="BH40" s="315"/>
      <c r="BI40" s="315"/>
      <c r="BJ40" s="315"/>
      <c r="BK40" s="315"/>
      <c r="BL40" s="315"/>
      <c r="BM40" s="274"/>
      <c r="BN40" s="274"/>
      <c r="BO40" s="274"/>
      <c r="BP40" s="274"/>
      <c r="BQ40" s="274"/>
      <c r="BR40" s="274"/>
      <c r="BS40" s="274"/>
      <c r="BT40" s="274"/>
      <c r="BU40" s="274"/>
      <c r="BV40" s="274"/>
      <c r="BW40" s="274"/>
      <c r="BX40" s="274"/>
      <c r="BY40" s="274"/>
      <c r="BZ40" s="274"/>
      <c r="CA40" s="274"/>
      <c r="CB40" s="274"/>
      <c r="CC40" s="274"/>
      <c r="CD40" s="274"/>
      <c r="CE40" s="274"/>
      <c r="CF40" s="274"/>
      <c r="CG40" s="274"/>
      <c r="CH40" s="274"/>
      <c r="CI40" s="274"/>
      <c r="CJ40" s="274"/>
      <c r="CK40" s="274"/>
      <c r="CL40" s="274"/>
      <c r="CM40" s="274"/>
      <c r="CN40" s="274"/>
      <c r="CO40" s="274"/>
      <c r="CP40" s="274"/>
      <c r="CQ40" s="274"/>
      <c r="CR40" s="274"/>
      <c r="CS40" s="274"/>
      <c r="CT40" s="274"/>
      <c r="CU40" s="274"/>
      <c r="CV40" s="274"/>
      <c r="CW40" s="274"/>
      <c r="CX40" s="274"/>
      <c r="CY40" s="274"/>
      <c r="CZ40" s="274"/>
      <c r="DA40" s="274"/>
      <c r="DB40" s="274"/>
      <c r="DC40" s="274"/>
      <c r="DD40" s="274"/>
      <c r="DE40" s="274"/>
      <c r="DF40" s="274"/>
      <c r="DG40" s="274"/>
      <c r="DH40" s="274"/>
      <c r="DI40" s="274"/>
      <c r="DJ40" s="274"/>
      <c r="DK40" s="274"/>
      <c r="DL40" s="274"/>
      <c r="DM40" s="274"/>
      <c r="DN40" s="274"/>
      <c r="DO40" s="274"/>
      <c r="DP40" s="274"/>
      <c r="DQ40" s="274"/>
      <c r="DR40" s="274"/>
      <c r="DS40" s="274"/>
      <c r="DT40" s="274"/>
      <c r="DU40" s="274"/>
      <c r="DV40" s="274"/>
      <c r="DW40" s="274"/>
      <c r="DX40" s="274"/>
      <c r="DY40" s="274"/>
      <c r="DZ40" s="274"/>
      <c r="EA40" s="274"/>
      <c r="EB40" s="274"/>
      <c r="EC40" s="274"/>
      <c r="ED40" s="274"/>
      <c r="EE40" s="274"/>
      <c r="EF40" s="274"/>
      <c r="EG40" s="274"/>
      <c r="EH40" s="274"/>
      <c r="EI40" s="274"/>
      <c r="EJ40" s="274"/>
      <c r="EK40" s="274"/>
      <c r="EL40" s="274"/>
      <c r="EM40" s="274"/>
      <c r="EN40" s="274"/>
      <c r="EO40" s="274"/>
      <c r="EP40" s="274"/>
      <c r="EQ40" s="274"/>
      <c r="ER40" s="274"/>
      <c r="ES40" s="274"/>
      <c r="ET40" s="274"/>
      <c r="EU40" s="274"/>
      <c r="EV40" s="274"/>
      <c r="EW40" s="274"/>
      <c r="EX40" s="274"/>
      <c r="EY40" s="274"/>
      <c r="EZ40" s="274"/>
      <c r="FA40" s="274"/>
      <c r="FB40" s="274"/>
      <c r="FC40" s="274"/>
      <c r="FD40" s="274"/>
      <c r="FE40" s="274"/>
      <c r="FF40" s="274"/>
      <c r="FG40" s="274"/>
      <c r="FH40" s="274"/>
      <c r="FI40" s="274"/>
      <c r="FJ40" s="274"/>
      <c r="FK40" s="274"/>
      <c r="FL40" s="274"/>
      <c r="FM40" s="274"/>
      <c r="FN40" s="274"/>
      <c r="FO40" s="274"/>
      <c r="FP40" s="274"/>
      <c r="FQ40" s="274"/>
      <c r="FR40" s="274"/>
      <c r="FS40" s="274"/>
      <c r="FT40" s="274"/>
      <c r="FU40" s="274"/>
      <c r="FV40" s="274"/>
      <c r="FW40" s="274"/>
      <c r="FX40" s="274"/>
      <c r="FY40" s="274"/>
      <c r="FZ40" s="274"/>
      <c r="GA40" s="274"/>
      <c r="GB40" s="274"/>
      <c r="GC40" s="274"/>
      <c r="GD40" s="274"/>
      <c r="GE40" s="274"/>
      <c r="GF40" s="274"/>
      <c r="GG40" s="274"/>
      <c r="GH40" s="274"/>
      <c r="GI40" s="274"/>
      <c r="GJ40" s="274"/>
      <c r="GK40" s="274"/>
      <c r="GL40" s="274"/>
      <c r="GM40" s="274"/>
      <c r="GN40" s="274"/>
      <c r="GO40" s="274"/>
      <c r="GP40" s="274"/>
      <c r="GQ40" s="274"/>
      <c r="GR40" s="274"/>
      <c r="GS40" s="274"/>
      <c r="GT40" s="274"/>
      <c r="GU40" s="274"/>
      <c r="GV40" s="274"/>
      <c r="GW40" s="274"/>
      <c r="GX40" s="274"/>
      <c r="GY40" s="274"/>
      <c r="GZ40" s="274"/>
      <c r="HA40" s="274"/>
      <c r="HB40" s="274"/>
      <c r="HC40" s="274"/>
      <c r="HD40" s="274"/>
      <c r="HE40" s="274"/>
      <c r="HF40" s="274"/>
      <c r="HG40" s="274"/>
      <c r="HH40" s="274"/>
      <c r="HI40" s="274"/>
      <c r="HJ40" s="274"/>
    </row>
  </sheetData>
  <mergeCells count="81">
    <mergeCell ref="S16:S18"/>
    <mergeCell ref="T16:T18"/>
    <mergeCell ref="U16:U18"/>
    <mergeCell ref="V16:V18"/>
    <mergeCell ref="N16:N18"/>
    <mergeCell ref="O16:O18"/>
    <mergeCell ref="P16:P18"/>
    <mergeCell ref="Q16:Q18"/>
    <mergeCell ref="R16:R18"/>
    <mergeCell ref="C39:I39"/>
    <mergeCell ref="K39:L39"/>
    <mergeCell ref="C40:I40"/>
    <mergeCell ref="K40:L40"/>
    <mergeCell ref="K34:L34"/>
    <mergeCell ref="C34:I34"/>
    <mergeCell ref="C36:I36"/>
    <mergeCell ref="K36:L36"/>
    <mergeCell ref="K28:L28"/>
    <mergeCell ref="C29:I29"/>
    <mergeCell ref="K29:L29"/>
    <mergeCell ref="C38:I38"/>
    <mergeCell ref="K38:L38"/>
    <mergeCell ref="C33:I33"/>
    <mergeCell ref="C35:I35"/>
    <mergeCell ref="C37:I37"/>
    <mergeCell ref="K37:L37"/>
    <mergeCell ref="K35:L35"/>
    <mergeCell ref="K33:L33"/>
    <mergeCell ref="C30:I30"/>
    <mergeCell ref="K30:L30"/>
    <mergeCell ref="C31:I31"/>
    <mergeCell ref="K31:L31"/>
    <mergeCell ref="C32:I32"/>
    <mergeCell ref="K32:L32"/>
    <mergeCell ref="J13:K13"/>
    <mergeCell ref="C14:E14"/>
    <mergeCell ref="G14:I14"/>
    <mergeCell ref="C15:I15"/>
    <mergeCell ref="K15:L15"/>
    <mergeCell ref="K18:L18"/>
    <mergeCell ref="K19:L19"/>
    <mergeCell ref="C20:I20"/>
    <mergeCell ref="K20:L20"/>
    <mergeCell ref="K27:L27"/>
    <mergeCell ref="K22:L22"/>
    <mergeCell ref="K23:L23"/>
    <mergeCell ref="C26:I26"/>
    <mergeCell ref="K26:L26"/>
    <mergeCell ref="K21:L21"/>
    <mergeCell ref="K24:L24"/>
    <mergeCell ref="K25:L25"/>
    <mergeCell ref="C21:I21"/>
    <mergeCell ref="C22:I22"/>
    <mergeCell ref="J12:K12"/>
    <mergeCell ref="C19:I19"/>
    <mergeCell ref="C18:I18"/>
    <mergeCell ref="C13:E13"/>
    <mergeCell ref="G13:I13"/>
    <mergeCell ref="C23:I23"/>
    <mergeCell ref="C24:I24"/>
    <mergeCell ref="C25:I25"/>
    <mergeCell ref="J4:K4"/>
    <mergeCell ref="G5:I5"/>
    <mergeCell ref="J5:K5"/>
    <mergeCell ref="G11:I11"/>
    <mergeCell ref="J11:K11"/>
    <mergeCell ref="G6:I6"/>
    <mergeCell ref="G9:I9"/>
    <mergeCell ref="J9:K9"/>
    <mergeCell ref="G10:I10"/>
    <mergeCell ref="J10:L10"/>
    <mergeCell ref="C27:I27"/>
    <mergeCell ref="C28:I28"/>
    <mergeCell ref="G2:I2"/>
    <mergeCell ref="G3:I3"/>
    <mergeCell ref="G4:I4"/>
    <mergeCell ref="C12:E12"/>
    <mergeCell ref="G12:I12"/>
    <mergeCell ref="C9:E9"/>
    <mergeCell ref="C10:E11"/>
    <mergeCell ref="B4:E5"/>
  </mergeCells>
  <dataValidations disablePrompts="1" count="4">
    <dataValidation allowBlank="1" showInputMessage="1" showErrorMessage="1" promptTitle="Información de la organización" prompt="Para escribir varias líneas en una celda, use Alt+Entrar.  También puede personalizar esta plantilla y guardarla como una nueva para su uso posterior. Para más información sobre cómo crear plantillas personalizadas, vea los temas de ayuda." sqref="B1:I1" xr:uid="{00000000-0002-0000-0700-000000000000}"/>
    <dataValidation errorStyle="warning" allowBlank="1" showInputMessage="1" errorTitle="Estado" promptTitle="Estado" prompt="Escriba la abreviatura del estado en esta celda." sqref="E12" xr:uid="{00000000-0002-0000-0700-000001000000}"/>
    <dataValidation type="decimal" allowBlank="1" showErrorMessage="1" errorTitle="Precio unitario" error="Debe escribir un número en esta celda." promptTitle="Precio unitario" sqref="J18:J40" xr:uid="{00000000-0002-0000-0700-000002000000}">
      <formula1>0</formula1>
      <formula2>1000000000</formula2>
    </dataValidation>
    <dataValidation type="whole" errorStyle="warning" allowBlank="1" showErrorMessage="1" errorTitle="Cantidad" error="Debe escribir un número en esta celda." promptTitle="Cantidad" sqref="B18" xr:uid="{00000000-0002-0000-0700-000003000000}">
      <formula1>0</formula1>
      <formula2>1000000000</formula2>
    </dataValidation>
  </dataValidations>
  <printOptions horizontalCentered="1"/>
  <pageMargins left="0.70866141732283472" right="0.70866141732283472" top="1.1023622047244095" bottom="0.74803149606299213" header="0.31496062992125984" footer="0.31496062992125984"/>
  <pageSetup paperSize="176" scale="71" orientation="portrait" r:id="rId1"/>
  <colBreaks count="2" manualBreakCount="2">
    <brk id="17" max="39" man="1"/>
    <brk id="22" max="39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J59"/>
  <sheetViews>
    <sheetView view="pageBreakPreview" topLeftCell="A29" zoomScaleNormal="100" zoomScaleSheetLayoutView="100" workbookViewId="0">
      <selection activeCell="G5" sqref="G5:I5"/>
    </sheetView>
  </sheetViews>
  <sheetFormatPr baseColWidth="10" defaultColWidth="2.7109375" defaultRowHeight="10.5"/>
  <cols>
    <col min="1" max="1" width="1.28515625" style="5" customWidth="1"/>
    <col min="2" max="2" width="19.7109375" style="5" customWidth="1"/>
    <col min="3" max="3" width="14.5703125" style="5" customWidth="1"/>
    <col min="4" max="4" width="9.140625" style="5" customWidth="1"/>
    <col min="5" max="5" width="7.85546875" style="5" customWidth="1"/>
    <col min="6" max="6" width="0.5703125" style="5" customWidth="1"/>
    <col min="7" max="7" width="8.28515625" style="5" customWidth="1"/>
    <col min="8" max="8" width="1.42578125" style="5" customWidth="1"/>
    <col min="9" max="9" width="3.7109375" style="5" customWidth="1"/>
    <col min="10" max="10" width="17" style="78" customWidth="1"/>
    <col min="11" max="11" width="16.7109375" style="5" customWidth="1"/>
    <col min="12" max="12" width="1.140625" style="5" customWidth="1"/>
    <col min="13" max="13" width="1.28515625" style="5" customWidth="1"/>
    <col min="14" max="14" width="16" style="310" customWidth="1"/>
    <col min="15" max="16" width="16" style="172" customWidth="1"/>
    <col min="17" max="17" width="19.5703125" style="172" customWidth="1"/>
    <col min="18" max="18" width="22.140625" style="172" customWidth="1"/>
    <col min="19" max="19" width="28.7109375" style="172" customWidth="1"/>
    <col min="20" max="20" width="21.7109375" style="172" customWidth="1"/>
    <col min="21" max="21" width="18.28515625" style="172" customWidth="1"/>
    <col min="22" max="22" width="13.7109375" style="172" customWidth="1"/>
    <col min="23" max="25" width="2.7109375" style="172"/>
    <col min="26" max="16384" width="2.7109375" style="5"/>
  </cols>
  <sheetData>
    <row r="1" spans="1:218" ht="25.15" customHeight="1" thickBot="1">
      <c r="A1" s="19"/>
      <c r="B1" s="20"/>
      <c r="C1" s="20"/>
      <c r="D1" s="21"/>
      <c r="E1" s="21"/>
      <c r="F1" s="21"/>
      <c r="G1" s="21"/>
      <c r="H1" s="21"/>
      <c r="I1" s="21"/>
      <c r="J1" s="22"/>
      <c r="K1" s="23"/>
      <c r="L1" s="24"/>
      <c r="M1" s="120"/>
      <c r="N1" s="316"/>
      <c r="O1" s="317"/>
      <c r="P1" s="317"/>
      <c r="Q1" s="317"/>
      <c r="R1" s="318"/>
      <c r="S1" s="318"/>
      <c r="T1" s="318"/>
      <c r="U1" s="318"/>
      <c r="V1" s="315"/>
      <c r="W1" s="315"/>
      <c r="X1" s="315"/>
      <c r="Y1" s="315"/>
      <c r="Z1" s="274"/>
      <c r="AA1" s="274"/>
      <c r="AB1" s="274"/>
      <c r="AC1" s="274"/>
      <c r="AD1" s="274"/>
      <c r="AE1" s="274"/>
      <c r="AF1" s="274"/>
      <c r="AG1" s="274"/>
      <c r="AH1" s="274"/>
      <c r="AI1" s="274"/>
      <c r="AJ1" s="274"/>
      <c r="AK1" s="274"/>
      <c r="AL1" s="274"/>
      <c r="AM1" s="274"/>
      <c r="AN1" s="274"/>
      <c r="AO1" s="274"/>
      <c r="AP1" s="274"/>
      <c r="AQ1" s="274"/>
      <c r="AR1" s="274"/>
      <c r="AS1" s="274"/>
      <c r="AT1" s="274"/>
      <c r="AU1" s="274"/>
      <c r="AV1" s="274"/>
      <c r="AW1" s="274"/>
      <c r="AX1" s="274"/>
      <c r="AY1" s="274"/>
      <c r="AZ1" s="274"/>
      <c r="BA1" s="274"/>
      <c r="BB1" s="274"/>
      <c r="BC1" s="274"/>
      <c r="BD1" s="274"/>
      <c r="BE1" s="274"/>
      <c r="BF1" s="274"/>
      <c r="BG1" s="274"/>
      <c r="BH1" s="274"/>
      <c r="BI1" s="274"/>
      <c r="BJ1" s="274"/>
      <c r="BK1" s="274"/>
      <c r="BL1" s="274"/>
      <c r="BM1" s="274"/>
      <c r="BN1" s="274"/>
      <c r="BO1" s="274"/>
      <c r="BP1" s="274"/>
      <c r="BQ1" s="274"/>
      <c r="BR1" s="274"/>
      <c r="BS1" s="274"/>
      <c r="BT1" s="274"/>
      <c r="BU1" s="274"/>
      <c r="BV1" s="274"/>
      <c r="BW1" s="274"/>
      <c r="BX1" s="274"/>
      <c r="BY1" s="274"/>
      <c r="BZ1" s="274"/>
      <c r="CA1" s="274"/>
      <c r="CB1" s="274"/>
      <c r="CC1" s="274"/>
      <c r="CD1" s="274"/>
      <c r="CE1" s="274"/>
      <c r="CF1" s="274"/>
      <c r="CG1" s="274"/>
      <c r="CH1" s="274"/>
      <c r="CI1" s="274"/>
      <c r="CJ1" s="274"/>
      <c r="CK1" s="274"/>
      <c r="CL1" s="274"/>
      <c r="CM1" s="274"/>
      <c r="CN1" s="274"/>
      <c r="CO1" s="274"/>
      <c r="CP1" s="274"/>
      <c r="CQ1" s="274"/>
      <c r="CR1" s="274"/>
      <c r="CS1" s="274"/>
      <c r="CT1" s="274"/>
      <c r="CU1" s="274"/>
      <c r="CV1" s="274"/>
      <c r="CW1" s="274"/>
      <c r="CX1" s="274"/>
      <c r="CY1" s="274"/>
      <c r="CZ1" s="274"/>
      <c r="DA1" s="274"/>
      <c r="DB1" s="274"/>
      <c r="DC1" s="274"/>
      <c r="DD1" s="274"/>
      <c r="DE1" s="274"/>
      <c r="DF1" s="274"/>
      <c r="DG1" s="274"/>
      <c r="DH1" s="274"/>
      <c r="DI1" s="274"/>
      <c r="DJ1" s="274"/>
      <c r="DK1" s="274"/>
      <c r="DL1" s="274"/>
      <c r="DM1" s="274"/>
      <c r="DN1" s="274"/>
      <c r="DO1" s="274"/>
      <c r="DP1" s="274"/>
      <c r="DQ1" s="274"/>
      <c r="DR1" s="274"/>
      <c r="DS1" s="274"/>
      <c r="DT1" s="274"/>
      <c r="DU1" s="274"/>
      <c r="DV1" s="274"/>
      <c r="DW1" s="274"/>
      <c r="DX1" s="274"/>
      <c r="DY1" s="274"/>
      <c r="DZ1" s="274"/>
      <c r="EA1" s="274"/>
      <c r="EB1" s="274"/>
      <c r="EC1" s="274"/>
      <c r="ED1" s="274"/>
      <c r="EE1" s="274"/>
      <c r="EF1" s="274"/>
      <c r="EG1" s="274"/>
      <c r="EH1" s="274"/>
      <c r="EI1" s="274"/>
      <c r="EJ1" s="274"/>
      <c r="EK1" s="274"/>
      <c r="EL1" s="274"/>
      <c r="EM1" s="274"/>
      <c r="EN1" s="274"/>
      <c r="EO1" s="274"/>
      <c r="EP1" s="274"/>
      <c r="EQ1" s="274"/>
      <c r="ER1" s="274"/>
      <c r="ES1" s="274"/>
      <c r="ET1" s="274"/>
      <c r="EU1" s="274"/>
      <c r="EV1" s="274"/>
      <c r="EW1" s="274"/>
      <c r="EX1" s="274"/>
      <c r="EY1" s="274"/>
      <c r="EZ1" s="274"/>
      <c r="FA1" s="274"/>
      <c r="FB1" s="274"/>
      <c r="FC1" s="274"/>
      <c r="FD1" s="274"/>
      <c r="FE1" s="274"/>
      <c r="FF1" s="274"/>
      <c r="FG1" s="274"/>
      <c r="FH1" s="274"/>
      <c r="FI1" s="274"/>
      <c r="FJ1" s="274"/>
      <c r="FK1" s="274"/>
      <c r="FL1" s="274"/>
      <c r="FM1" s="274"/>
      <c r="FN1" s="274"/>
      <c r="FO1" s="274"/>
      <c r="FP1" s="274"/>
      <c r="FQ1" s="274"/>
      <c r="FR1" s="274"/>
      <c r="FS1" s="274"/>
      <c r="FT1" s="274"/>
      <c r="FU1" s="274"/>
      <c r="FV1" s="274"/>
      <c r="FW1" s="274"/>
      <c r="FX1" s="274"/>
      <c r="FY1" s="274"/>
      <c r="FZ1" s="274"/>
      <c r="GA1" s="274"/>
      <c r="GB1" s="274"/>
      <c r="GC1" s="274"/>
      <c r="GD1" s="274"/>
      <c r="GE1" s="274"/>
      <c r="GF1" s="274"/>
      <c r="GG1" s="274"/>
      <c r="GH1" s="274"/>
      <c r="GI1" s="274"/>
      <c r="GJ1" s="274"/>
      <c r="GK1" s="274"/>
      <c r="GL1" s="274"/>
      <c r="GM1" s="274"/>
      <c r="GN1" s="274"/>
      <c r="GO1" s="274"/>
      <c r="GP1" s="274"/>
      <c r="GQ1" s="274"/>
      <c r="GR1" s="274"/>
      <c r="GS1" s="274"/>
      <c r="GT1" s="274"/>
      <c r="GU1" s="274"/>
      <c r="GV1" s="274"/>
      <c r="GW1" s="274"/>
      <c r="GX1" s="274"/>
      <c r="GY1" s="274"/>
      <c r="GZ1" s="274"/>
      <c r="HA1" s="274"/>
      <c r="HB1" s="274"/>
      <c r="HC1" s="274"/>
      <c r="HD1" s="274"/>
      <c r="HE1" s="274"/>
      <c r="HF1" s="274"/>
      <c r="HG1" s="274"/>
      <c r="HH1" s="274"/>
      <c r="HI1" s="274"/>
      <c r="HJ1" s="274"/>
    </row>
    <row r="2" spans="1:218" ht="12.75">
      <c r="A2" s="4"/>
      <c r="B2" s="25"/>
      <c r="C2" s="26"/>
      <c r="D2" s="27"/>
      <c r="E2" s="27"/>
      <c r="F2" s="27"/>
      <c r="G2" s="349" t="s">
        <v>0</v>
      </c>
      <c r="H2" s="350"/>
      <c r="I2" s="350"/>
      <c r="J2" s="28"/>
      <c r="K2" s="29"/>
      <c r="L2" s="30"/>
      <c r="M2" s="14"/>
      <c r="N2" s="319"/>
      <c r="O2" s="315"/>
      <c r="P2" s="315"/>
      <c r="Q2" s="317"/>
      <c r="R2" s="320"/>
      <c r="S2" s="320"/>
      <c r="T2" s="320"/>
      <c r="U2" s="315"/>
      <c r="V2" s="315"/>
      <c r="W2" s="315"/>
      <c r="X2" s="315"/>
      <c r="Y2" s="315"/>
      <c r="Z2" s="274"/>
      <c r="AA2" s="274"/>
      <c r="AB2" s="274"/>
      <c r="AC2" s="274"/>
      <c r="AD2" s="274"/>
      <c r="AE2" s="274"/>
      <c r="AF2" s="274"/>
      <c r="AG2" s="274"/>
      <c r="AH2" s="274"/>
      <c r="AI2" s="274"/>
      <c r="AJ2" s="274"/>
      <c r="AK2" s="274"/>
      <c r="AL2" s="274"/>
      <c r="AM2" s="274"/>
      <c r="AN2" s="274"/>
      <c r="AO2" s="274"/>
      <c r="AP2" s="274"/>
      <c r="AQ2" s="274"/>
      <c r="AR2" s="274"/>
      <c r="AS2" s="274"/>
      <c r="AT2" s="274"/>
      <c r="AU2" s="274"/>
      <c r="AV2" s="274"/>
      <c r="AW2" s="274"/>
      <c r="AX2" s="274"/>
      <c r="AY2" s="274"/>
      <c r="AZ2" s="274"/>
      <c r="BA2" s="274"/>
      <c r="BB2" s="274"/>
      <c r="BC2" s="274"/>
      <c r="BD2" s="274"/>
      <c r="BE2" s="274"/>
      <c r="BF2" s="274"/>
      <c r="BG2" s="274"/>
      <c r="BH2" s="274"/>
      <c r="BI2" s="274"/>
      <c r="BJ2" s="274"/>
      <c r="BK2" s="274"/>
      <c r="BL2" s="274"/>
      <c r="BM2" s="274"/>
      <c r="BN2" s="274"/>
      <c r="BO2" s="274"/>
      <c r="BP2" s="274"/>
      <c r="BQ2" s="274"/>
      <c r="BR2" s="274"/>
      <c r="BS2" s="274"/>
      <c r="BT2" s="274"/>
      <c r="BU2" s="274"/>
      <c r="BV2" s="274"/>
      <c r="BW2" s="274"/>
      <c r="BX2" s="274"/>
      <c r="BY2" s="274"/>
      <c r="BZ2" s="274"/>
      <c r="CA2" s="274"/>
      <c r="CB2" s="274"/>
      <c r="CC2" s="274"/>
      <c r="CD2" s="274"/>
      <c r="CE2" s="274"/>
      <c r="CF2" s="274"/>
      <c r="CG2" s="274"/>
      <c r="CH2" s="274"/>
      <c r="CI2" s="274"/>
      <c r="CJ2" s="274"/>
      <c r="CK2" s="274"/>
      <c r="CL2" s="274"/>
      <c r="CM2" s="274"/>
      <c r="CN2" s="274"/>
      <c r="CO2" s="274"/>
      <c r="CP2" s="274"/>
      <c r="CQ2" s="274"/>
      <c r="CR2" s="274"/>
      <c r="CS2" s="274"/>
      <c r="CT2" s="274"/>
      <c r="CU2" s="274"/>
      <c r="CV2" s="274"/>
      <c r="CW2" s="274"/>
      <c r="CX2" s="274"/>
      <c r="CY2" s="274"/>
      <c r="CZ2" s="274"/>
      <c r="DA2" s="274"/>
      <c r="DB2" s="274"/>
      <c r="DC2" s="274"/>
      <c r="DD2" s="274"/>
      <c r="DE2" s="274"/>
      <c r="DF2" s="274"/>
      <c r="DG2" s="274"/>
      <c r="DH2" s="274"/>
      <c r="DI2" s="274"/>
      <c r="DJ2" s="274"/>
      <c r="DK2" s="274"/>
      <c r="DL2" s="274"/>
      <c r="DM2" s="274"/>
      <c r="DN2" s="274"/>
      <c r="DO2" s="274"/>
      <c r="DP2" s="274"/>
      <c r="DQ2" s="274"/>
      <c r="DR2" s="274"/>
      <c r="DS2" s="274"/>
      <c r="DT2" s="274"/>
      <c r="DU2" s="274"/>
      <c r="DV2" s="274"/>
      <c r="DW2" s="274"/>
      <c r="DX2" s="274"/>
      <c r="DY2" s="274"/>
      <c r="DZ2" s="274"/>
      <c r="EA2" s="274"/>
      <c r="EB2" s="274"/>
      <c r="EC2" s="274"/>
      <c r="ED2" s="274"/>
      <c r="EE2" s="274"/>
      <c r="EF2" s="274"/>
      <c r="EG2" s="274"/>
      <c r="EH2" s="274"/>
      <c r="EI2" s="274"/>
      <c r="EJ2" s="274"/>
      <c r="EK2" s="274"/>
      <c r="EL2" s="274"/>
      <c r="EM2" s="274"/>
      <c r="EN2" s="274"/>
      <c r="EO2" s="274"/>
      <c r="EP2" s="274"/>
      <c r="EQ2" s="274"/>
      <c r="ER2" s="274"/>
      <c r="ES2" s="274"/>
      <c r="ET2" s="274"/>
      <c r="EU2" s="274"/>
      <c r="EV2" s="274"/>
      <c r="EW2" s="274"/>
      <c r="EX2" s="274"/>
      <c r="EY2" s="274"/>
      <c r="EZ2" s="274"/>
      <c r="FA2" s="274"/>
      <c r="FB2" s="274"/>
      <c r="FC2" s="274"/>
      <c r="FD2" s="274"/>
      <c r="FE2" s="274"/>
      <c r="FF2" s="274"/>
      <c r="FG2" s="274"/>
      <c r="FH2" s="274"/>
      <c r="FI2" s="274"/>
      <c r="FJ2" s="274"/>
      <c r="FK2" s="274"/>
      <c r="FL2" s="274"/>
      <c r="FM2" s="274"/>
      <c r="FN2" s="274"/>
      <c r="FO2" s="274"/>
      <c r="FP2" s="274"/>
      <c r="FQ2" s="274"/>
      <c r="FR2" s="274"/>
      <c r="FS2" s="274"/>
      <c r="FT2" s="274"/>
      <c r="FU2" s="274"/>
      <c r="FV2" s="274"/>
      <c r="FW2" s="274"/>
      <c r="FX2" s="274"/>
      <c r="FY2" s="274"/>
      <c r="FZ2" s="274"/>
      <c r="GA2" s="274"/>
      <c r="GB2" s="274"/>
      <c r="GC2" s="274"/>
      <c r="GD2" s="274"/>
      <c r="GE2" s="274"/>
      <c r="GF2" s="274"/>
      <c r="GG2" s="274"/>
      <c r="GH2" s="274"/>
      <c r="GI2" s="274"/>
      <c r="GJ2" s="274"/>
      <c r="GK2" s="274"/>
      <c r="GL2" s="274"/>
      <c r="GM2" s="274"/>
      <c r="GN2" s="274"/>
      <c r="GO2" s="274"/>
      <c r="GP2" s="274"/>
      <c r="GQ2" s="274"/>
      <c r="GR2" s="274"/>
      <c r="GS2" s="274"/>
      <c r="GT2" s="274"/>
      <c r="GU2" s="274"/>
      <c r="GV2" s="274"/>
      <c r="GW2" s="274"/>
      <c r="GX2" s="274"/>
      <c r="GY2" s="274"/>
      <c r="GZ2" s="274"/>
      <c r="HA2" s="274"/>
      <c r="HB2" s="274"/>
      <c r="HC2" s="274"/>
      <c r="HD2" s="274"/>
      <c r="HE2" s="274"/>
      <c r="HF2" s="274"/>
      <c r="HG2" s="274"/>
      <c r="HH2" s="274"/>
      <c r="HI2" s="274"/>
      <c r="HJ2" s="274"/>
    </row>
    <row r="3" spans="1:218" ht="12.75">
      <c r="A3" s="4"/>
      <c r="B3" s="25"/>
      <c r="C3" s="31"/>
      <c r="D3" s="32"/>
      <c r="E3" s="32"/>
      <c r="F3" s="32"/>
      <c r="G3" s="351" t="s">
        <v>2</v>
      </c>
      <c r="H3" s="352"/>
      <c r="I3" s="352"/>
      <c r="J3" s="18"/>
      <c r="K3" s="18"/>
      <c r="L3" s="222"/>
      <c r="M3" s="30"/>
      <c r="N3" s="319"/>
      <c r="O3" s="315"/>
      <c r="P3" s="315"/>
      <c r="Q3" s="318"/>
      <c r="R3" s="318"/>
      <c r="S3" s="320"/>
      <c r="T3" s="318"/>
      <c r="U3" s="315"/>
      <c r="V3" s="315"/>
      <c r="W3" s="315"/>
      <c r="X3" s="315"/>
      <c r="Y3" s="315"/>
      <c r="Z3" s="274"/>
      <c r="AA3" s="274"/>
      <c r="AB3" s="274"/>
      <c r="AC3" s="274"/>
      <c r="AD3" s="274"/>
      <c r="AE3" s="274"/>
      <c r="AF3" s="274"/>
      <c r="AG3" s="274"/>
      <c r="AH3" s="274"/>
      <c r="AI3" s="274"/>
      <c r="AJ3" s="274"/>
      <c r="AK3" s="274"/>
      <c r="AL3" s="274"/>
      <c r="AM3" s="274"/>
      <c r="AN3" s="274"/>
      <c r="AO3" s="274"/>
      <c r="AP3" s="274"/>
      <c r="AQ3" s="274"/>
      <c r="AR3" s="274"/>
      <c r="AS3" s="274"/>
      <c r="AT3" s="274"/>
      <c r="AU3" s="274"/>
      <c r="AV3" s="274"/>
      <c r="AW3" s="274"/>
      <c r="AX3" s="274"/>
      <c r="AY3" s="274"/>
      <c r="AZ3" s="274"/>
      <c r="BA3" s="274"/>
      <c r="BB3" s="274"/>
      <c r="BC3" s="274"/>
      <c r="BD3" s="274"/>
      <c r="BE3" s="274"/>
      <c r="BF3" s="274"/>
      <c r="BG3" s="274"/>
      <c r="BH3" s="274"/>
      <c r="BI3" s="274"/>
      <c r="BJ3" s="274"/>
      <c r="BK3" s="274"/>
      <c r="BL3" s="274"/>
      <c r="BM3" s="274"/>
      <c r="BN3" s="274"/>
      <c r="BO3" s="274"/>
      <c r="BP3" s="274"/>
      <c r="BQ3" s="274"/>
      <c r="BR3" s="274"/>
      <c r="BS3" s="274"/>
      <c r="BT3" s="274"/>
      <c r="BU3" s="274"/>
      <c r="BV3" s="274"/>
      <c r="BW3" s="274"/>
      <c r="BX3" s="274"/>
      <c r="BY3" s="274"/>
      <c r="BZ3" s="274"/>
      <c r="CA3" s="274"/>
      <c r="CB3" s="274"/>
      <c r="CC3" s="274"/>
      <c r="CD3" s="274"/>
      <c r="CE3" s="274"/>
      <c r="CF3" s="274"/>
      <c r="CG3" s="274"/>
      <c r="CH3" s="274"/>
      <c r="CI3" s="274"/>
      <c r="CJ3" s="274"/>
      <c r="CK3" s="274"/>
      <c r="CL3" s="274"/>
      <c r="CM3" s="274"/>
      <c r="CN3" s="274"/>
      <c r="CO3" s="274"/>
      <c r="CP3" s="274"/>
      <c r="CQ3" s="274"/>
      <c r="CR3" s="274"/>
      <c r="CS3" s="274"/>
      <c r="CT3" s="274"/>
      <c r="CU3" s="274"/>
      <c r="CV3" s="274"/>
      <c r="CW3" s="274"/>
      <c r="CX3" s="274"/>
      <c r="CY3" s="274"/>
      <c r="CZ3" s="274"/>
      <c r="DA3" s="274"/>
      <c r="DB3" s="274"/>
      <c r="DC3" s="274"/>
      <c r="DD3" s="274"/>
      <c r="DE3" s="274"/>
      <c r="DF3" s="274"/>
      <c r="DG3" s="274"/>
      <c r="DH3" s="274"/>
      <c r="DI3" s="274"/>
      <c r="DJ3" s="274"/>
      <c r="DK3" s="274"/>
      <c r="DL3" s="274"/>
      <c r="DM3" s="274"/>
      <c r="DN3" s="274"/>
      <c r="DO3" s="274"/>
      <c r="DP3" s="274"/>
      <c r="DQ3" s="274"/>
      <c r="DR3" s="274"/>
      <c r="DS3" s="274"/>
      <c r="DT3" s="274"/>
      <c r="DU3" s="274"/>
      <c r="DV3" s="274"/>
      <c r="DW3" s="274"/>
      <c r="DX3" s="274"/>
      <c r="DY3" s="274"/>
      <c r="DZ3" s="274"/>
      <c r="EA3" s="274"/>
      <c r="EB3" s="274"/>
      <c r="EC3" s="274"/>
      <c r="ED3" s="274"/>
      <c r="EE3" s="274"/>
      <c r="EF3" s="274"/>
      <c r="EG3" s="274"/>
      <c r="EH3" s="274"/>
      <c r="EI3" s="274"/>
      <c r="EJ3" s="274"/>
      <c r="EK3" s="274"/>
      <c r="EL3" s="274"/>
      <c r="EM3" s="274"/>
      <c r="EN3" s="274"/>
      <c r="EO3" s="274"/>
      <c r="EP3" s="274"/>
      <c r="EQ3" s="274"/>
      <c r="ER3" s="274"/>
      <c r="ES3" s="274"/>
      <c r="ET3" s="274"/>
      <c r="EU3" s="274"/>
      <c r="EV3" s="274"/>
      <c r="EW3" s="274"/>
      <c r="EX3" s="274"/>
      <c r="EY3" s="274"/>
      <c r="EZ3" s="274"/>
      <c r="FA3" s="274"/>
      <c r="FB3" s="274"/>
      <c r="FC3" s="274"/>
      <c r="FD3" s="274"/>
      <c r="FE3" s="274"/>
      <c r="FF3" s="274"/>
      <c r="FG3" s="274"/>
      <c r="FH3" s="274"/>
      <c r="FI3" s="274"/>
      <c r="FJ3" s="274"/>
      <c r="FK3" s="274"/>
      <c r="FL3" s="274"/>
      <c r="FM3" s="274"/>
      <c r="FN3" s="274"/>
      <c r="FO3" s="274"/>
      <c r="FP3" s="274"/>
      <c r="FQ3" s="274"/>
      <c r="FR3" s="274"/>
      <c r="FS3" s="274"/>
      <c r="FT3" s="274"/>
      <c r="FU3" s="274"/>
      <c r="FV3" s="274"/>
      <c r="FW3" s="274"/>
      <c r="FX3" s="274"/>
      <c r="FY3" s="274"/>
      <c r="FZ3" s="274"/>
      <c r="GA3" s="274"/>
      <c r="GB3" s="274"/>
      <c r="GC3" s="274"/>
      <c r="GD3" s="274"/>
      <c r="GE3" s="274"/>
      <c r="GF3" s="274"/>
      <c r="GG3" s="274"/>
      <c r="GH3" s="274"/>
      <c r="GI3" s="274"/>
      <c r="GJ3" s="274"/>
      <c r="GK3" s="274"/>
      <c r="GL3" s="274"/>
      <c r="GM3" s="274"/>
      <c r="GN3" s="274"/>
      <c r="GO3" s="274"/>
      <c r="GP3" s="274"/>
      <c r="GQ3" s="274"/>
      <c r="GR3" s="274"/>
      <c r="GS3" s="274"/>
      <c r="GT3" s="274"/>
      <c r="GU3" s="274"/>
      <c r="GV3" s="274"/>
      <c r="GW3" s="274"/>
      <c r="GX3" s="274"/>
      <c r="GY3" s="274"/>
      <c r="GZ3" s="274"/>
      <c r="HA3" s="274"/>
      <c r="HB3" s="274"/>
      <c r="HC3" s="274"/>
      <c r="HD3" s="274"/>
      <c r="HE3" s="274"/>
      <c r="HF3" s="274"/>
      <c r="HG3" s="274"/>
      <c r="HH3" s="274"/>
      <c r="HI3" s="274"/>
      <c r="HJ3" s="274"/>
    </row>
    <row r="4" spans="1:218" ht="15" customHeight="1">
      <c r="A4" s="4"/>
      <c r="B4" s="498"/>
      <c r="C4" s="498"/>
      <c r="D4" s="498"/>
      <c r="E4" s="498"/>
      <c r="F4" s="303"/>
      <c r="G4" s="352" t="s">
        <v>6</v>
      </c>
      <c r="H4" s="352"/>
      <c r="I4" s="352"/>
      <c r="J4" s="359"/>
      <c r="K4" s="359"/>
      <c r="L4" s="14"/>
      <c r="M4" s="222"/>
      <c r="N4" s="319"/>
      <c r="O4" s="315"/>
      <c r="P4" s="315"/>
      <c r="Q4" s="318"/>
      <c r="R4" s="321"/>
      <c r="S4" s="321"/>
      <c r="T4" s="321"/>
      <c r="U4" s="315"/>
      <c r="V4" s="315"/>
      <c r="W4" s="315"/>
      <c r="X4" s="315"/>
      <c r="Y4" s="315"/>
      <c r="Z4" s="274"/>
      <c r="AA4" s="274"/>
      <c r="AB4" s="274"/>
      <c r="AC4" s="274"/>
      <c r="AD4" s="274"/>
      <c r="AE4" s="274"/>
      <c r="AF4" s="274"/>
      <c r="AG4" s="274"/>
      <c r="AH4" s="274"/>
      <c r="AI4" s="274"/>
      <c r="AJ4" s="274"/>
      <c r="AK4" s="274"/>
      <c r="AL4" s="274"/>
      <c r="AM4" s="274"/>
      <c r="AN4" s="274"/>
      <c r="AO4" s="274"/>
      <c r="AP4" s="274"/>
      <c r="AQ4" s="274"/>
      <c r="AR4" s="274"/>
      <c r="AS4" s="274"/>
      <c r="AT4" s="274"/>
      <c r="AU4" s="274"/>
      <c r="AV4" s="274"/>
      <c r="AW4" s="274"/>
      <c r="AX4" s="274"/>
      <c r="AY4" s="274"/>
      <c r="AZ4" s="274"/>
      <c r="BA4" s="274"/>
      <c r="BB4" s="274"/>
      <c r="BC4" s="274"/>
      <c r="BD4" s="274"/>
      <c r="BE4" s="274"/>
      <c r="BF4" s="274"/>
      <c r="BG4" s="274"/>
      <c r="BH4" s="274"/>
      <c r="BI4" s="274"/>
      <c r="BJ4" s="274"/>
      <c r="BK4" s="274"/>
      <c r="BL4" s="274"/>
      <c r="BM4" s="274"/>
      <c r="BN4" s="274"/>
      <c r="BO4" s="274"/>
      <c r="BP4" s="274"/>
      <c r="BQ4" s="274"/>
      <c r="BR4" s="274"/>
      <c r="BS4" s="274"/>
      <c r="BT4" s="274"/>
      <c r="BU4" s="274"/>
      <c r="BV4" s="274"/>
      <c r="BW4" s="274"/>
      <c r="BX4" s="274"/>
      <c r="BY4" s="274"/>
      <c r="BZ4" s="274"/>
      <c r="CA4" s="274"/>
      <c r="CB4" s="274"/>
      <c r="CC4" s="274"/>
      <c r="CD4" s="274"/>
      <c r="CE4" s="274"/>
      <c r="CF4" s="274"/>
      <c r="CG4" s="274"/>
      <c r="CH4" s="274"/>
      <c r="CI4" s="274"/>
      <c r="CJ4" s="274"/>
      <c r="CK4" s="274"/>
      <c r="CL4" s="274"/>
      <c r="CM4" s="274"/>
      <c r="CN4" s="274"/>
      <c r="CO4" s="274"/>
      <c r="CP4" s="274"/>
      <c r="CQ4" s="274"/>
      <c r="CR4" s="274"/>
      <c r="CS4" s="274"/>
      <c r="CT4" s="274"/>
      <c r="CU4" s="274"/>
      <c r="CV4" s="274"/>
      <c r="CW4" s="274"/>
      <c r="CX4" s="274"/>
      <c r="CY4" s="274"/>
      <c r="CZ4" s="274"/>
      <c r="DA4" s="274"/>
      <c r="DB4" s="274"/>
      <c r="DC4" s="274"/>
      <c r="DD4" s="274"/>
      <c r="DE4" s="274"/>
      <c r="DF4" s="274"/>
      <c r="DG4" s="274"/>
      <c r="DH4" s="274"/>
      <c r="DI4" s="274"/>
      <c r="DJ4" s="274"/>
      <c r="DK4" s="274"/>
      <c r="DL4" s="274"/>
      <c r="DM4" s="274"/>
      <c r="DN4" s="274"/>
      <c r="DO4" s="274"/>
      <c r="DP4" s="274"/>
      <c r="DQ4" s="274"/>
      <c r="DR4" s="274"/>
      <c r="DS4" s="274"/>
      <c r="DT4" s="274"/>
      <c r="DU4" s="274"/>
      <c r="DV4" s="274"/>
      <c r="DW4" s="274"/>
      <c r="DX4" s="274"/>
      <c r="DY4" s="274"/>
      <c r="DZ4" s="274"/>
      <c r="EA4" s="274"/>
      <c r="EB4" s="274"/>
      <c r="EC4" s="274"/>
      <c r="ED4" s="274"/>
      <c r="EE4" s="274"/>
      <c r="EF4" s="274"/>
      <c r="EG4" s="274"/>
      <c r="EH4" s="274"/>
      <c r="EI4" s="274"/>
      <c r="EJ4" s="274"/>
      <c r="EK4" s="274"/>
      <c r="EL4" s="274"/>
      <c r="EM4" s="274"/>
      <c r="EN4" s="274"/>
      <c r="EO4" s="274"/>
      <c r="EP4" s="274"/>
      <c r="EQ4" s="274"/>
      <c r="ER4" s="274"/>
      <c r="ES4" s="274"/>
      <c r="ET4" s="274"/>
      <c r="EU4" s="274"/>
      <c r="EV4" s="274"/>
      <c r="EW4" s="274"/>
      <c r="EX4" s="274"/>
      <c r="EY4" s="274"/>
      <c r="EZ4" s="274"/>
      <c r="FA4" s="274"/>
      <c r="FB4" s="274"/>
      <c r="FC4" s="274"/>
      <c r="FD4" s="274"/>
      <c r="FE4" s="274"/>
      <c r="FF4" s="274"/>
      <c r="FG4" s="274"/>
      <c r="FH4" s="274"/>
      <c r="FI4" s="274"/>
      <c r="FJ4" s="274"/>
      <c r="FK4" s="274"/>
      <c r="FL4" s="274"/>
      <c r="FM4" s="274"/>
      <c r="FN4" s="274"/>
      <c r="FO4" s="274"/>
      <c r="FP4" s="274"/>
      <c r="FQ4" s="274"/>
      <c r="FR4" s="274"/>
      <c r="FS4" s="274"/>
      <c r="FT4" s="274"/>
      <c r="FU4" s="274"/>
      <c r="FV4" s="274"/>
      <c r="FW4" s="274"/>
      <c r="FX4" s="274"/>
      <c r="FY4" s="274"/>
      <c r="FZ4" s="274"/>
      <c r="GA4" s="274"/>
      <c r="GB4" s="274"/>
      <c r="GC4" s="274"/>
      <c r="GD4" s="274"/>
      <c r="GE4" s="274"/>
      <c r="GF4" s="274"/>
      <c r="GG4" s="274"/>
      <c r="GH4" s="274"/>
      <c r="GI4" s="274"/>
      <c r="GJ4" s="274"/>
      <c r="GK4" s="274"/>
      <c r="GL4" s="274"/>
      <c r="GM4" s="274"/>
      <c r="GN4" s="274"/>
      <c r="GO4" s="274"/>
      <c r="GP4" s="274"/>
      <c r="GQ4" s="274"/>
      <c r="GR4" s="274"/>
      <c r="GS4" s="274"/>
      <c r="GT4" s="274"/>
      <c r="GU4" s="274"/>
      <c r="GV4" s="274"/>
      <c r="GW4" s="274"/>
      <c r="GX4" s="274"/>
      <c r="GY4" s="274"/>
      <c r="GZ4" s="274"/>
      <c r="HA4" s="274"/>
      <c r="HB4" s="274"/>
      <c r="HC4" s="274"/>
      <c r="HD4" s="274"/>
      <c r="HE4" s="274"/>
      <c r="HF4" s="274"/>
      <c r="HG4" s="274"/>
      <c r="HH4" s="274"/>
      <c r="HI4" s="274"/>
      <c r="HJ4" s="274"/>
    </row>
    <row r="5" spans="1:218" ht="14.25" customHeight="1" thickBot="1">
      <c r="A5" s="34"/>
      <c r="B5" s="498"/>
      <c r="C5" s="498"/>
      <c r="D5" s="498"/>
      <c r="E5" s="498"/>
      <c r="F5" s="303"/>
      <c r="G5" s="352" t="s">
        <v>8</v>
      </c>
      <c r="H5" s="352"/>
      <c r="I5" s="352"/>
      <c r="J5" s="359"/>
      <c r="K5" s="359"/>
      <c r="L5" s="14"/>
      <c r="M5" s="14"/>
      <c r="N5" s="319"/>
      <c r="O5" s="315"/>
      <c r="P5" s="315"/>
      <c r="Q5" s="318"/>
      <c r="R5" s="322"/>
      <c r="S5" s="322"/>
      <c r="T5" s="322"/>
      <c r="U5" s="315"/>
      <c r="V5" s="315"/>
      <c r="W5" s="315"/>
      <c r="X5" s="315"/>
      <c r="Y5" s="315"/>
      <c r="Z5" s="274"/>
      <c r="AA5" s="274"/>
      <c r="AB5" s="274"/>
      <c r="AC5" s="274"/>
      <c r="AD5" s="274"/>
      <c r="AE5" s="274"/>
      <c r="AF5" s="274"/>
      <c r="AG5" s="274"/>
      <c r="AH5" s="274"/>
      <c r="AI5" s="274"/>
      <c r="AJ5" s="274"/>
      <c r="AK5" s="274"/>
      <c r="AL5" s="274"/>
      <c r="AM5" s="274"/>
      <c r="AN5" s="274"/>
      <c r="AO5" s="274"/>
      <c r="AP5" s="274"/>
      <c r="AQ5" s="274"/>
      <c r="AR5" s="274"/>
      <c r="AS5" s="274"/>
      <c r="AT5" s="274"/>
      <c r="AU5" s="274"/>
      <c r="AV5" s="274"/>
      <c r="AW5" s="274"/>
      <c r="AX5" s="274"/>
      <c r="AY5" s="274"/>
      <c r="AZ5" s="274"/>
      <c r="BA5" s="274"/>
      <c r="BB5" s="274"/>
      <c r="BC5" s="274"/>
      <c r="BD5" s="274"/>
      <c r="BE5" s="274"/>
      <c r="BF5" s="274"/>
      <c r="BG5" s="274"/>
      <c r="BH5" s="274"/>
      <c r="BI5" s="274"/>
      <c r="BJ5" s="274"/>
      <c r="BK5" s="274"/>
      <c r="BL5" s="274"/>
      <c r="BM5" s="274"/>
      <c r="BN5" s="274"/>
      <c r="BO5" s="274"/>
      <c r="BP5" s="274"/>
      <c r="BQ5" s="274"/>
      <c r="BR5" s="274"/>
      <c r="BS5" s="274"/>
      <c r="BT5" s="274"/>
      <c r="BU5" s="274"/>
      <c r="BV5" s="274"/>
      <c r="BW5" s="274"/>
      <c r="BX5" s="274"/>
      <c r="BY5" s="274"/>
      <c r="BZ5" s="274"/>
      <c r="CA5" s="274"/>
      <c r="CB5" s="274"/>
      <c r="CC5" s="274"/>
      <c r="CD5" s="274"/>
      <c r="CE5" s="274"/>
      <c r="CF5" s="274"/>
      <c r="CG5" s="274"/>
      <c r="CH5" s="274"/>
      <c r="CI5" s="274"/>
      <c r="CJ5" s="274"/>
      <c r="CK5" s="274"/>
      <c r="CL5" s="274"/>
      <c r="CM5" s="274"/>
      <c r="CN5" s="274"/>
      <c r="CO5" s="274"/>
      <c r="CP5" s="274"/>
      <c r="CQ5" s="274"/>
      <c r="CR5" s="274"/>
      <c r="CS5" s="274"/>
      <c r="CT5" s="274"/>
      <c r="CU5" s="274"/>
      <c r="CV5" s="274"/>
      <c r="CW5" s="274"/>
      <c r="CX5" s="274"/>
      <c r="CY5" s="274"/>
      <c r="CZ5" s="274"/>
      <c r="DA5" s="274"/>
      <c r="DB5" s="274"/>
      <c r="DC5" s="274"/>
      <c r="DD5" s="274"/>
      <c r="DE5" s="274"/>
      <c r="DF5" s="274"/>
      <c r="DG5" s="274"/>
      <c r="DH5" s="274"/>
      <c r="DI5" s="274"/>
      <c r="DJ5" s="274"/>
      <c r="DK5" s="274"/>
      <c r="DL5" s="274"/>
      <c r="DM5" s="274"/>
      <c r="DN5" s="274"/>
      <c r="DO5" s="274"/>
      <c r="DP5" s="274"/>
      <c r="DQ5" s="274"/>
      <c r="DR5" s="274"/>
      <c r="DS5" s="274"/>
      <c r="DT5" s="274"/>
      <c r="DU5" s="274"/>
      <c r="DV5" s="274"/>
      <c r="DW5" s="274"/>
      <c r="DX5" s="274"/>
      <c r="DY5" s="274"/>
      <c r="DZ5" s="274"/>
      <c r="EA5" s="274"/>
      <c r="EB5" s="274"/>
      <c r="EC5" s="274"/>
      <c r="ED5" s="274"/>
      <c r="EE5" s="274"/>
      <c r="EF5" s="274"/>
      <c r="EG5" s="274"/>
      <c r="EH5" s="274"/>
      <c r="EI5" s="274"/>
      <c r="EJ5" s="274"/>
      <c r="EK5" s="274"/>
      <c r="EL5" s="274"/>
      <c r="EM5" s="274"/>
      <c r="EN5" s="274"/>
      <c r="EO5" s="274"/>
      <c r="EP5" s="274"/>
      <c r="EQ5" s="274"/>
      <c r="ER5" s="274"/>
      <c r="ES5" s="274"/>
      <c r="ET5" s="274"/>
      <c r="EU5" s="274"/>
      <c r="EV5" s="274"/>
      <c r="EW5" s="274"/>
      <c r="EX5" s="274"/>
      <c r="EY5" s="274"/>
      <c r="EZ5" s="274"/>
      <c r="FA5" s="274"/>
      <c r="FB5" s="274"/>
      <c r="FC5" s="274"/>
      <c r="FD5" s="274"/>
      <c r="FE5" s="274"/>
      <c r="FF5" s="274"/>
      <c r="FG5" s="274"/>
      <c r="FH5" s="274"/>
      <c r="FI5" s="274"/>
      <c r="FJ5" s="274"/>
      <c r="FK5" s="274"/>
      <c r="FL5" s="274"/>
      <c r="FM5" s="274"/>
      <c r="FN5" s="274"/>
      <c r="FO5" s="274"/>
      <c r="FP5" s="274"/>
      <c r="FQ5" s="274"/>
      <c r="FR5" s="274"/>
      <c r="FS5" s="274"/>
      <c r="FT5" s="274"/>
      <c r="FU5" s="274"/>
      <c r="FV5" s="274"/>
      <c r="FW5" s="274"/>
      <c r="FX5" s="274"/>
      <c r="FY5" s="274"/>
      <c r="FZ5" s="274"/>
      <c r="GA5" s="274"/>
      <c r="GB5" s="274"/>
      <c r="GC5" s="274"/>
      <c r="GD5" s="274"/>
      <c r="GE5" s="274"/>
      <c r="GF5" s="274"/>
      <c r="GG5" s="274"/>
      <c r="GH5" s="274"/>
      <c r="GI5" s="274"/>
      <c r="GJ5" s="274"/>
      <c r="GK5" s="274"/>
      <c r="GL5" s="274"/>
      <c r="GM5" s="274"/>
      <c r="GN5" s="274"/>
      <c r="GO5" s="274"/>
      <c r="GP5" s="274"/>
      <c r="GQ5" s="274"/>
      <c r="GR5" s="274"/>
      <c r="GS5" s="274"/>
      <c r="GT5" s="274"/>
      <c r="GU5" s="274"/>
      <c r="GV5" s="274"/>
      <c r="GW5" s="274"/>
      <c r="GX5" s="274"/>
      <c r="GY5" s="274"/>
      <c r="GZ5" s="274"/>
      <c r="HA5" s="274"/>
      <c r="HB5" s="274"/>
      <c r="HC5" s="274"/>
      <c r="HD5" s="274"/>
      <c r="HE5" s="274"/>
      <c r="HF5" s="274"/>
      <c r="HG5" s="274"/>
      <c r="HH5" s="274"/>
      <c r="HI5" s="274"/>
      <c r="HJ5" s="274"/>
    </row>
    <row r="6" spans="1:218" ht="13.5" thickBot="1">
      <c r="A6" s="4"/>
      <c r="B6" s="304"/>
      <c r="C6" s="304"/>
      <c r="D6" s="304"/>
      <c r="E6" s="305"/>
      <c r="F6" s="304"/>
      <c r="G6" s="361"/>
      <c r="H6" s="361"/>
      <c r="I6" s="361"/>
      <c r="J6" s="36"/>
      <c r="K6" s="35"/>
      <c r="L6" s="14"/>
      <c r="M6" s="14"/>
      <c r="N6" s="319"/>
      <c r="O6" s="315"/>
      <c r="P6" s="315"/>
      <c r="Q6" s="315"/>
      <c r="R6" s="315"/>
      <c r="S6" s="315"/>
      <c r="T6" s="315"/>
      <c r="U6" s="315"/>
      <c r="V6" s="315"/>
      <c r="W6" s="315"/>
      <c r="X6" s="315"/>
      <c r="Y6" s="315"/>
      <c r="Z6" s="274"/>
      <c r="AA6" s="274"/>
      <c r="AB6" s="274"/>
      <c r="AC6" s="274"/>
      <c r="AD6" s="274"/>
      <c r="AE6" s="274"/>
      <c r="AF6" s="274"/>
      <c r="AG6" s="274"/>
      <c r="AH6" s="274"/>
      <c r="AI6" s="274"/>
      <c r="AJ6" s="274"/>
      <c r="AK6" s="274"/>
      <c r="AL6" s="274"/>
      <c r="AM6" s="274"/>
      <c r="AN6" s="274"/>
      <c r="AO6" s="274"/>
      <c r="AP6" s="274"/>
      <c r="AQ6" s="274"/>
      <c r="AR6" s="274"/>
      <c r="AS6" s="274"/>
      <c r="AT6" s="274"/>
      <c r="AU6" s="274"/>
      <c r="AV6" s="274"/>
      <c r="AW6" s="274"/>
      <c r="AX6" s="274"/>
      <c r="AY6" s="274"/>
      <c r="AZ6" s="274"/>
      <c r="BA6" s="274"/>
      <c r="BB6" s="274"/>
      <c r="BC6" s="274"/>
      <c r="BD6" s="274"/>
      <c r="BE6" s="274"/>
      <c r="BF6" s="274"/>
      <c r="BG6" s="274"/>
      <c r="BH6" s="274"/>
      <c r="BI6" s="274"/>
      <c r="BJ6" s="274"/>
      <c r="BK6" s="274"/>
      <c r="BL6" s="274"/>
      <c r="BM6" s="274"/>
      <c r="BN6" s="274"/>
      <c r="BO6" s="274"/>
      <c r="BP6" s="274"/>
      <c r="BQ6" s="274"/>
      <c r="BR6" s="274"/>
      <c r="BS6" s="274"/>
      <c r="BT6" s="274"/>
      <c r="BU6" s="274"/>
      <c r="BV6" s="274"/>
      <c r="BW6" s="274"/>
      <c r="BX6" s="274"/>
      <c r="BY6" s="274"/>
      <c r="BZ6" s="274"/>
      <c r="CA6" s="274"/>
      <c r="CB6" s="274"/>
      <c r="CC6" s="274"/>
      <c r="CD6" s="274"/>
      <c r="CE6" s="274"/>
      <c r="CF6" s="274"/>
      <c r="CG6" s="274"/>
      <c r="CH6" s="274"/>
      <c r="CI6" s="274"/>
      <c r="CJ6" s="274"/>
      <c r="CK6" s="274"/>
      <c r="CL6" s="274"/>
      <c r="CM6" s="274"/>
      <c r="CN6" s="274"/>
      <c r="CO6" s="274"/>
      <c r="CP6" s="274"/>
      <c r="CQ6" s="274"/>
      <c r="CR6" s="274"/>
      <c r="CS6" s="274"/>
      <c r="CT6" s="274"/>
      <c r="CU6" s="274"/>
      <c r="CV6" s="274"/>
      <c r="CW6" s="274"/>
      <c r="CX6" s="274"/>
      <c r="CY6" s="274"/>
      <c r="CZ6" s="274"/>
      <c r="DA6" s="274"/>
      <c r="DB6" s="274"/>
      <c r="DC6" s="274"/>
      <c r="DD6" s="274"/>
      <c r="DE6" s="274"/>
      <c r="DF6" s="274"/>
      <c r="DG6" s="274"/>
      <c r="DH6" s="274"/>
      <c r="DI6" s="274"/>
      <c r="DJ6" s="274"/>
      <c r="DK6" s="274"/>
      <c r="DL6" s="274"/>
      <c r="DM6" s="274"/>
      <c r="DN6" s="274"/>
      <c r="DO6" s="274"/>
      <c r="DP6" s="274"/>
      <c r="DQ6" s="274"/>
      <c r="DR6" s="274"/>
      <c r="DS6" s="274"/>
      <c r="DT6" s="274"/>
      <c r="DU6" s="274"/>
      <c r="DV6" s="274"/>
      <c r="DW6" s="274"/>
      <c r="DX6" s="274"/>
      <c r="DY6" s="274"/>
      <c r="DZ6" s="274"/>
      <c r="EA6" s="274"/>
      <c r="EB6" s="274"/>
      <c r="EC6" s="274"/>
      <c r="ED6" s="274"/>
      <c r="EE6" s="274"/>
      <c r="EF6" s="274"/>
      <c r="EG6" s="274"/>
      <c r="EH6" s="274"/>
      <c r="EI6" s="274"/>
      <c r="EJ6" s="274"/>
      <c r="EK6" s="274"/>
      <c r="EL6" s="274"/>
      <c r="EM6" s="274"/>
      <c r="EN6" s="274"/>
      <c r="EO6" s="274"/>
      <c r="EP6" s="274"/>
      <c r="EQ6" s="274"/>
      <c r="ER6" s="274"/>
      <c r="ES6" s="274"/>
      <c r="ET6" s="274"/>
      <c r="EU6" s="274"/>
      <c r="EV6" s="274"/>
      <c r="EW6" s="274"/>
      <c r="EX6" s="274"/>
      <c r="EY6" s="274"/>
      <c r="EZ6" s="274"/>
      <c r="FA6" s="274"/>
      <c r="FB6" s="274"/>
      <c r="FC6" s="274"/>
      <c r="FD6" s="274"/>
      <c r="FE6" s="274"/>
      <c r="FF6" s="274"/>
      <c r="FG6" s="274"/>
      <c r="FH6" s="274"/>
      <c r="FI6" s="274"/>
      <c r="FJ6" s="274"/>
      <c r="FK6" s="274"/>
      <c r="FL6" s="274"/>
      <c r="FM6" s="274"/>
      <c r="FN6" s="274"/>
      <c r="FO6" s="274"/>
      <c r="FP6" s="274"/>
      <c r="FQ6" s="274"/>
      <c r="FR6" s="274"/>
      <c r="FS6" s="274"/>
      <c r="FT6" s="274"/>
      <c r="FU6" s="274"/>
      <c r="FV6" s="274"/>
      <c r="FW6" s="274"/>
      <c r="FX6" s="274"/>
      <c r="FY6" s="274"/>
      <c r="FZ6" s="274"/>
      <c r="GA6" s="274"/>
      <c r="GB6" s="274"/>
      <c r="GC6" s="274"/>
      <c r="GD6" s="274"/>
      <c r="GE6" s="274"/>
      <c r="GF6" s="274"/>
      <c r="GG6" s="274"/>
      <c r="GH6" s="274"/>
      <c r="GI6" s="274"/>
      <c r="GJ6" s="274"/>
      <c r="GK6" s="274"/>
      <c r="GL6" s="274"/>
      <c r="GM6" s="274"/>
      <c r="GN6" s="274"/>
      <c r="GO6" s="274"/>
      <c r="GP6" s="274"/>
      <c r="GQ6" s="274"/>
      <c r="GR6" s="274"/>
      <c r="GS6" s="274"/>
      <c r="GT6" s="274"/>
      <c r="GU6" s="274"/>
      <c r="GV6" s="274"/>
      <c r="GW6" s="274"/>
      <c r="GX6" s="274"/>
      <c r="GY6" s="274"/>
      <c r="GZ6" s="274"/>
      <c r="HA6" s="274"/>
      <c r="HB6" s="274"/>
      <c r="HC6" s="274"/>
      <c r="HD6" s="274"/>
      <c r="HE6" s="274"/>
      <c r="HF6" s="274"/>
      <c r="HG6" s="274"/>
      <c r="HH6" s="274"/>
      <c r="HI6" s="274"/>
      <c r="HJ6" s="274"/>
    </row>
    <row r="7" spans="1:218" ht="13.5" thickBot="1">
      <c r="A7" s="4"/>
      <c r="B7" s="290" t="s">
        <v>10</v>
      </c>
      <c r="C7" s="38"/>
      <c r="D7" s="39"/>
      <c r="E7" s="39"/>
      <c r="F7" s="40"/>
      <c r="G7" s="41"/>
      <c r="H7" s="39"/>
      <c r="I7" s="41"/>
      <c r="J7" s="42"/>
      <c r="K7" s="39"/>
      <c r="L7" s="39"/>
      <c r="M7" s="10"/>
      <c r="N7" s="319"/>
      <c r="O7" s="315"/>
      <c r="P7" s="315"/>
      <c r="Q7" s="315"/>
      <c r="R7" s="315"/>
      <c r="S7" s="315"/>
      <c r="T7" s="315"/>
      <c r="U7" s="315"/>
      <c r="V7" s="315"/>
      <c r="W7" s="315"/>
      <c r="X7" s="315"/>
      <c r="Y7" s="315"/>
      <c r="Z7" s="274"/>
      <c r="AA7" s="274"/>
      <c r="AB7" s="274"/>
      <c r="AC7" s="274"/>
      <c r="AD7" s="274"/>
      <c r="AE7" s="274"/>
      <c r="AF7" s="274"/>
      <c r="AG7" s="274"/>
      <c r="AH7" s="274"/>
      <c r="AI7" s="274"/>
      <c r="AJ7" s="274"/>
      <c r="AK7" s="274"/>
      <c r="AL7" s="274"/>
      <c r="AM7" s="274"/>
      <c r="AN7" s="274"/>
      <c r="AO7" s="274"/>
      <c r="AP7" s="274"/>
      <c r="AQ7" s="274"/>
      <c r="AR7" s="274"/>
      <c r="AS7" s="274"/>
      <c r="AT7" s="274"/>
      <c r="AU7" s="274"/>
      <c r="AV7" s="274"/>
      <c r="AW7" s="274"/>
      <c r="AX7" s="274"/>
      <c r="AY7" s="274"/>
      <c r="AZ7" s="274"/>
      <c r="BA7" s="274"/>
      <c r="BB7" s="274"/>
      <c r="BC7" s="274"/>
      <c r="BD7" s="274"/>
      <c r="BE7" s="274"/>
      <c r="BF7" s="274"/>
      <c r="BG7" s="274"/>
      <c r="BH7" s="274"/>
      <c r="BI7" s="274"/>
      <c r="BJ7" s="274"/>
      <c r="BK7" s="274"/>
      <c r="BL7" s="274"/>
      <c r="BM7" s="274"/>
      <c r="BN7" s="274"/>
      <c r="BO7" s="274"/>
      <c r="BP7" s="274"/>
      <c r="BQ7" s="274"/>
      <c r="BR7" s="274"/>
      <c r="BS7" s="274"/>
      <c r="BT7" s="274"/>
      <c r="BU7" s="274"/>
      <c r="BV7" s="274"/>
      <c r="BW7" s="274"/>
      <c r="BX7" s="274"/>
      <c r="BY7" s="274"/>
      <c r="BZ7" s="274"/>
      <c r="CA7" s="274"/>
      <c r="CB7" s="274"/>
      <c r="CC7" s="274"/>
      <c r="CD7" s="274"/>
      <c r="CE7" s="274"/>
      <c r="CF7" s="274"/>
      <c r="CG7" s="274"/>
      <c r="CH7" s="274"/>
      <c r="CI7" s="274"/>
      <c r="CJ7" s="274"/>
      <c r="CK7" s="274"/>
      <c r="CL7" s="274"/>
      <c r="CM7" s="274"/>
      <c r="CN7" s="274"/>
      <c r="CO7" s="274"/>
      <c r="CP7" s="274"/>
      <c r="CQ7" s="274"/>
      <c r="CR7" s="274"/>
      <c r="CS7" s="274"/>
      <c r="CT7" s="274"/>
      <c r="CU7" s="274"/>
      <c r="CV7" s="274"/>
      <c r="CW7" s="274"/>
      <c r="CX7" s="274"/>
      <c r="CY7" s="274"/>
      <c r="CZ7" s="274"/>
      <c r="DA7" s="274"/>
      <c r="DB7" s="274"/>
      <c r="DC7" s="274"/>
      <c r="DD7" s="274"/>
      <c r="DE7" s="274"/>
      <c r="DF7" s="274"/>
      <c r="DG7" s="274"/>
      <c r="DH7" s="274"/>
      <c r="DI7" s="274"/>
      <c r="DJ7" s="274"/>
      <c r="DK7" s="274"/>
      <c r="DL7" s="274"/>
      <c r="DM7" s="274"/>
      <c r="DN7" s="274"/>
      <c r="DO7" s="274"/>
      <c r="DP7" s="274"/>
      <c r="DQ7" s="274"/>
      <c r="DR7" s="274"/>
      <c r="DS7" s="274"/>
      <c r="DT7" s="274"/>
      <c r="DU7" s="274"/>
      <c r="DV7" s="274"/>
      <c r="DW7" s="274"/>
      <c r="DX7" s="274"/>
      <c r="DY7" s="274"/>
      <c r="DZ7" s="274"/>
      <c r="EA7" s="274"/>
      <c r="EB7" s="274"/>
      <c r="EC7" s="274"/>
      <c r="ED7" s="274"/>
      <c r="EE7" s="274"/>
      <c r="EF7" s="274"/>
      <c r="EG7" s="274"/>
      <c r="EH7" s="274"/>
      <c r="EI7" s="274"/>
      <c r="EJ7" s="274"/>
      <c r="EK7" s="274"/>
      <c r="EL7" s="274"/>
      <c r="EM7" s="274"/>
      <c r="EN7" s="274"/>
      <c r="EO7" s="274"/>
      <c r="EP7" s="274"/>
      <c r="EQ7" s="274"/>
      <c r="ER7" s="274"/>
      <c r="ES7" s="274"/>
      <c r="ET7" s="274"/>
      <c r="EU7" s="274"/>
      <c r="EV7" s="274"/>
      <c r="EW7" s="274"/>
      <c r="EX7" s="274"/>
      <c r="EY7" s="274"/>
      <c r="EZ7" s="274"/>
      <c r="FA7" s="274"/>
      <c r="FB7" s="274"/>
      <c r="FC7" s="274"/>
      <c r="FD7" s="274"/>
      <c r="FE7" s="274"/>
      <c r="FF7" s="274"/>
      <c r="FG7" s="274"/>
      <c r="FH7" s="274"/>
      <c r="FI7" s="274"/>
      <c r="FJ7" s="274"/>
      <c r="FK7" s="274"/>
      <c r="FL7" s="274"/>
      <c r="FM7" s="274"/>
      <c r="FN7" s="274"/>
      <c r="FO7" s="274"/>
      <c r="FP7" s="274"/>
      <c r="FQ7" s="274"/>
      <c r="FR7" s="274"/>
      <c r="FS7" s="274"/>
      <c r="FT7" s="274"/>
      <c r="FU7" s="274"/>
      <c r="FV7" s="274"/>
      <c r="FW7" s="274"/>
      <c r="FX7" s="274"/>
      <c r="FY7" s="274"/>
      <c r="FZ7" s="274"/>
      <c r="GA7" s="274"/>
      <c r="GB7" s="274"/>
      <c r="GC7" s="274"/>
      <c r="GD7" s="274"/>
      <c r="GE7" s="274"/>
      <c r="GF7" s="274"/>
      <c r="GG7" s="274"/>
      <c r="GH7" s="274"/>
      <c r="GI7" s="274"/>
      <c r="GJ7" s="274"/>
      <c r="GK7" s="274"/>
      <c r="GL7" s="274"/>
      <c r="GM7" s="274"/>
      <c r="GN7" s="274"/>
      <c r="GO7" s="274"/>
      <c r="GP7" s="274"/>
      <c r="GQ7" s="274"/>
      <c r="GR7" s="274"/>
      <c r="GS7" s="274"/>
      <c r="GT7" s="274"/>
      <c r="GU7" s="274"/>
      <c r="GV7" s="274"/>
      <c r="GW7" s="274"/>
      <c r="GX7" s="274"/>
      <c r="GY7" s="274"/>
      <c r="GZ7" s="274"/>
      <c r="HA7" s="274"/>
      <c r="HB7" s="274"/>
      <c r="HC7" s="274"/>
      <c r="HD7" s="274"/>
      <c r="HE7" s="274"/>
      <c r="HF7" s="274"/>
      <c r="HG7" s="274"/>
      <c r="HH7" s="274"/>
      <c r="HI7" s="274"/>
      <c r="HJ7" s="274"/>
    </row>
    <row r="8" spans="1:218" ht="12">
      <c r="A8" s="10"/>
      <c r="B8" s="39"/>
      <c r="C8" s="35"/>
      <c r="D8" s="35"/>
      <c r="E8" s="35"/>
      <c r="F8" s="11"/>
      <c r="G8" s="35"/>
      <c r="H8" s="35"/>
      <c r="I8" s="35"/>
      <c r="J8" s="26"/>
      <c r="K8" s="35"/>
      <c r="L8" s="14"/>
      <c r="M8" s="14"/>
    </row>
    <row r="9" spans="1:218" ht="13.5" customHeight="1">
      <c r="A9" s="10"/>
      <c r="B9" s="148" t="s">
        <v>11</v>
      </c>
      <c r="C9" s="355"/>
      <c r="D9" s="355"/>
      <c r="E9" s="355"/>
      <c r="F9" s="11"/>
      <c r="G9" s="354" t="s">
        <v>12</v>
      </c>
      <c r="H9" s="352"/>
      <c r="I9" s="352"/>
      <c r="J9" s="362"/>
      <c r="K9" s="360"/>
      <c r="L9" s="275"/>
      <c r="M9" s="14"/>
    </row>
    <row r="10" spans="1:218" ht="13.5" customHeight="1">
      <c r="A10" s="10"/>
      <c r="B10" s="148" t="s">
        <v>13</v>
      </c>
      <c r="C10" s="356"/>
      <c r="D10" s="356"/>
      <c r="E10" s="356"/>
      <c r="F10" s="11"/>
      <c r="G10" s="354" t="s">
        <v>14</v>
      </c>
      <c r="H10" s="352"/>
      <c r="I10" s="352"/>
      <c r="J10" s="363"/>
      <c r="K10" s="363"/>
      <c r="L10" s="497"/>
      <c r="M10" s="10"/>
    </row>
    <row r="11" spans="1:218" ht="13.5" customHeight="1">
      <c r="A11" s="10"/>
      <c r="B11" s="148"/>
      <c r="C11" s="357"/>
      <c r="D11" s="357"/>
      <c r="E11" s="357"/>
      <c r="F11" s="11"/>
      <c r="G11" s="354" t="s">
        <v>17</v>
      </c>
      <c r="H11" s="352"/>
      <c r="I11" s="352"/>
      <c r="J11" s="360"/>
      <c r="K11" s="360"/>
      <c r="L11" s="275"/>
      <c r="M11" s="14"/>
    </row>
    <row r="12" spans="1:218" ht="13.5" customHeight="1">
      <c r="A12" s="10"/>
      <c r="B12" s="148" t="s">
        <v>15</v>
      </c>
      <c r="C12" s="353"/>
      <c r="D12" s="353"/>
      <c r="E12" s="353"/>
      <c r="F12" s="11"/>
      <c r="G12" s="354" t="s">
        <v>18</v>
      </c>
      <c r="H12" s="352"/>
      <c r="I12" s="352"/>
      <c r="J12" s="360"/>
      <c r="K12" s="360"/>
      <c r="L12" s="275"/>
      <c r="M12" s="10"/>
    </row>
    <row r="13" spans="1:218" ht="13.5" customHeight="1">
      <c r="A13" s="10"/>
      <c r="B13" s="148" t="s">
        <v>19</v>
      </c>
      <c r="C13" s="353"/>
      <c r="D13" s="353"/>
      <c r="E13" s="353"/>
      <c r="F13" s="11"/>
      <c r="G13" s="354" t="s">
        <v>20</v>
      </c>
      <c r="H13" s="352"/>
      <c r="I13" s="352"/>
      <c r="J13" s="360"/>
      <c r="K13" s="360"/>
      <c r="L13" s="275"/>
      <c r="M13" s="10"/>
    </row>
    <row r="14" spans="1:218" ht="12">
      <c r="A14" s="10"/>
      <c r="B14" s="146"/>
      <c r="C14" s="367"/>
      <c r="D14" s="367"/>
      <c r="E14" s="367"/>
      <c r="F14" s="11"/>
      <c r="G14" s="368"/>
      <c r="H14" s="369"/>
      <c r="I14" s="369"/>
      <c r="J14" s="80"/>
      <c r="K14" s="81"/>
      <c r="L14" s="82"/>
      <c r="M14" s="10"/>
      <c r="O14" s="311"/>
      <c r="P14" s="311"/>
      <c r="S14" s="311"/>
    </row>
    <row r="15" spans="1:218" ht="12.75">
      <c r="A15" s="10"/>
      <c r="B15" s="252" t="s">
        <v>21</v>
      </c>
      <c r="C15" s="370" t="s">
        <v>22</v>
      </c>
      <c r="D15" s="371"/>
      <c r="E15" s="371"/>
      <c r="F15" s="371"/>
      <c r="G15" s="371"/>
      <c r="H15" s="371"/>
      <c r="I15" s="372"/>
      <c r="J15" s="17" t="s">
        <v>23</v>
      </c>
      <c r="K15" s="373" t="s">
        <v>24</v>
      </c>
      <c r="L15" s="370"/>
      <c r="M15" s="10"/>
      <c r="N15" s="319"/>
      <c r="O15" s="315"/>
      <c r="P15" s="315"/>
      <c r="Q15" s="315"/>
      <c r="R15" s="315"/>
      <c r="S15" s="315"/>
      <c r="T15" s="315"/>
      <c r="U15" s="315"/>
      <c r="V15" s="315"/>
      <c r="W15" s="315"/>
      <c r="X15" s="315"/>
      <c r="Y15" s="315"/>
      <c r="Z15" s="274"/>
      <c r="AA15" s="274"/>
      <c r="AB15" s="274"/>
      <c r="AC15" s="274"/>
      <c r="AD15" s="274"/>
      <c r="AE15" s="274"/>
      <c r="AF15" s="274"/>
      <c r="AG15" s="274"/>
      <c r="AH15" s="274"/>
      <c r="AI15" s="274"/>
      <c r="AJ15" s="274"/>
      <c r="AK15" s="274"/>
      <c r="AL15" s="274"/>
      <c r="AM15" s="274"/>
      <c r="AN15" s="274"/>
      <c r="AO15" s="274"/>
      <c r="AP15" s="274"/>
      <c r="AQ15" s="274"/>
      <c r="AR15" s="274"/>
      <c r="AS15" s="274"/>
      <c r="AT15" s="274"/>
      <c r="AU15" s="274"/>
      <c r="AV15" s="274"/>
      <c r="AW15" s="274"/>
      <c r="AX15" s="274"/>
      <c r="AY15" s="274"/>
      <c r="AZ15" s="274"/>
      <c r="BA15" s="274"/>
      <c r="BB15" s="274"/>
      <c r="BC15" s="274"/>
      <c r="BD15" s="274"/>
      <c r="BE15" s="274"/>
      <c r="BF15" s="274"/>
      <c r="BG15" s="274"/>
      <c r="BH15" s="274"/>
      <c r="BI15" s="274"/>
      <c r="BJ15" s="274"/>
      <c r="BK15" s="274"/>
      <c r="BL15" s="274"/>
      <c r="BM15" s="274"/>
      <c r="BN15" s="274"/>
      <c r="BO15" s="274"/>
      <c r="BP15" s="274"/>
      <c r="BQ15" s="274"/>
      <c r="BR15" s="274"/>
      <c r="BS15" s="274"/>
      <c r="BT15" s="274"/>
      <c r="BU15" s="274"/>
      <c r="BV15" s="274"/>
      <c r="BW15" s="274"/>
      <c r="BX15" s="274"/>
      <c r="BY15" s="274"/>
      <c r="BZ15" s="274"/>
      <c r="CA15" s="274"/>
      <c r="CB15" s="274"/>
      <c r="CC15" s="274"/>
      <c r="CD15" s="274"/>
      <c r="CE15" s="274"/>
      <c r="CF15" s="274"/>
      <c r="CG15" s="274"/>
      <c r="CH15" s="274"/>
      <c r="CI15" s="274"/>
      <c r="CJ15" s="274"/>
      <c r="CK15" s="274"/>
      <c r="CL15" s="274"/>
      <c r="CM15" s="274"/>
      <c r="CN15" s="274"/>
      <c r="CO15" s="274"/>
      <c r="CP15" s="274"/>
      <c r="CQ15" s="274"/>
      <c r="CR15" s="274"/>
      <c r="CS15" s="274"/>
      <c r="CT15" s="274"/>
      <c r="CU15" s="274"/>
      <c r="CV15" s="274"/>
      <c r="CW15" s="274"/>
      <c r="CX15" s="274"/>
      <c r="CY15" s="274"/>
      <c r="CZ15" s="274"/>
      <c r="DA15" s="274"/>
      <c r="DB15" s="274"/>
      <c r="DC15" s="274"/>
      <c r="DD15" s="274"/>
      <c r="DE15" s="274"/>
      <c r="DF15" s="274"/>
      <c r="DG15" s="274"/>
      <c r="DH15" s="274"/>
      <c r="DI15" s="274"/>
      <c r="DJ15" s="274"/>
      <c r="DK15" s="274"/>
      <c r="DL15" s="274"/>
      <c r="DM15" s="274"/>
      <c r="DN15" s="274"/>
      <c r="DO15" s="274"/>
      <c r="DP15" s="274"/>
      <c r="DQ15" s="274"/>
      <c r="DR15" s="274"/>
      <c r="DS15" s="274"/>
      <c r="DT15" s="274"/>
      <c r="DU15" s="274"/>
      <c r="DV15" s="274"/>
      <c r="DW15" s="274"/>
      <c r="DX15" s="274"/>
      <c r="DY15" s="274"/>
      <c r="DZ15" s="274"/>
      <c r="EA15" s="274"/>
      <c r="EB15" s="274"/>
      <c r="EC15" s="274"/>
      <c r="ED15" s="274"/>
      <c r="EE15" s="274"/>
      <c r="EF15" s="274"/>
      <c r="EG15" s="274"/>
      <c r="EH15" s="274"/>
      <c r="EI15" s="274"/>
      <c r="EJ15" s="274"/>
      <c r="EK15" s="274"/>
      <c r="EL15" s="274"/>
      <c r="EM15" s="274"/>
      <c r="EN15" s="274"/>
      <c r="EO15" s="274"/>
      <c r="EP15" s="274"/>
      <c r="EQ15" s="274"/>
      <c r="ER15" s="274"/>
      <c r="ES15" s="274"/>
      <c r="ET15" s="274"/>
      <c r="EU15" s="274"/>
      <c r="EV15" s="274"/>
      <c r="EW15" s="274"/>
      <c r="EX15" s="274"/>
      <c r="EY15" s="274"/>
      <c r="EZ15" s="274"/>
      <c r="FA15" s="274"/>
      <c r="FB15" s="274"/>
      <c r="FC15" s="274"/>
      <c r="FD15" s="274"/>
      <c r="FE15" s="274"/>
      <c r="FF15" s="274"/>
      <c r="FG15" s="274"/>
      <c r="FH15" s="274"/>
      <c r="FI15" s="274"/>
      <c r="FJ15" s="274"/>
      <c r="FK15" s="274"/>
      <c r="FL15" s="274"/>
      <c r="FM15" s="274"/>
      <c r="FN15" s="274"/>
      <c r="FO15" s="274"/>
      <c r="FP15" s="274"/>
      <c r="FQ15" s="274"/>
      <c r="FR15" s="274"/>
      <c r="FS15" s="274"/>
      <c r="FT15" s="274"/>
      <c r="FU15" s="274"/>
      <c r="FV15" s="274"/>
      <c r="FW15" s="274"/>
      <c r="FX15" s="274"/>
      <c r="FY15" s="274"/>
      <c r="FZ15" s="274"/>
      <c r="GA15" s="274"/>
      <c r="GB15" s="274"/>
      <c r="GC15" s="274"/>
      <c r="GD15" s="274"/>
      <c r="GE15" s="274"/>
      <c r="GF15" s="274"/>
      <c r="GG15" s="274"/>
      <c r="GH15" s="274"/>
      <c r="GI15" s="274"/>
      <c r="GJ15" s="274"/>
      <c r="GK15" s="274"/>
      <c r="GL15" s="274"/>
      <c r="GM15" s="274"/>
      <c r="GN15" s="274"/>
      <c r="GO15" s="274"/>
      <c r="GP15" s="274"/>
      <c r="GQ15" s="274"/>
      <c r="GR15" s="274"/>
      <c r="GS15" s="274"/>
      <c r="GT15" s="274"/>
      <c r="GU15" s="274"/>
      <c r="GV15" s="274"/>
      <c r="GW15" s="274"/>
      <c r="GX15" s="274"/>
      <c r="GY15" s="274"/>
      <c r="GZ15" s="274"/>
      <c r="HA15" s="274"/>
      <c r="HB15" s="274"/>
      <c r="HC15" s="274"/>
      <c r="HD15" s="274"/>
      <c r="HE15" s="274"/>
      <c r="HF15" s="274"/>
      <c r="HG15" s="274"/>
      <c r="HH15" s="274"/>
      <c r="HI15" s="274"/>
      <c r="HJ15" s="274"/>
    </row>
    <row r="16" spans="1:218" ht="12.75">
      <c r="A16" s="10"/>
      <c r="B16" s="283"/>
      <c r="C16" s="190"/>
      <c r="D16" s="190"/>
      <c r="E16" s="190"/>
      <c r="F16" s="190"/>
      <c r="G16" s="190"/>
      <c r="H16" s="190"/>
      <c r="I16" s="190"/>
      <c r="J16" s="191"/>
      <c r="K16" s="192"/>
      <c r="L16" s="192"/>
      <c r="M16" s="10"/>
      <c r="N16" s="323"/>
      <c r="O16" s="324"/>
      <c r="P16" s="325"/>
      <c r="Q16" s="315"/>
      <c r="R16" s="315"/>
      <c r="S16" s="315"/>
      <c r="T16" s="315"/>
      <c r="U16" s="325"/>
      <c r="V16" s="325"/>
      <c r="W16" s="315"/>
      <c r="X16" s="315"/>
      <c r="Y16" s="315"/>
      <c r="Z16" s="274"/>
      <c r="AA16" s="274"/>
      <c r="AB16" s="274"/>
      <c r="AC16" s="274"/>
      <c r="AD16" s="274"/>
      <c r="AE16" s="274"/>
      <c r="AF16" s="274"/>
      <c r="AG16" s="274"/>
      <c r="AH16" s="274"/>
      <c r="AI16" s="274"/>
      <c r="AJ16" s="274"/>
      <c r="AK16" s="274"/>
      <c r="AL16" s="274"/>
      <c r="AM16" s="274"/>
      <c r="AN16" s="274"/>
      <c r="AO16" s="274"/>
      <c r="AP16" s="274"/>
      <c r="AQ16" s="274"/>
      <c r="AR16" s="274"/>
      <c r="AS16" s="274"/>
      <c r="AT16" s="274"/>
      <c r="AU16" s="274"/>
      <c r="AV16" s="274"/>
      <c r="AW16" s="274"/>
      <c r="AX16" s="274"/>
      <c r="AY16" s="274"/>
      <c r="AZ16" s="274"/>
      <c r="BA16" s="274"/>
      <c r="BB16" s="274"/>
      <c r="BC16" s="274"/>
      <c r="BD16" s="274"/>
      <c r="BE16" s="274"/>
      <c r="BF16" s="274"/>
      <c r="BG16" s="274"/>
      <c r="BH16" s="274"/>
      <c r="BI16" s="274"/>
      <c r="BJ16" s="274"/>
      <c r="BK16" s="274"/>
      <c r="BL16" s="274"/>
      <c r="BM16" s="274"/>
      <c r="BN16" s="274"/>
      <c r="BO16" s="274"/>
      <c r="BP16" s="274"/>
      <c r="BQ16" s="274"/>
      <c r="BR16" s="274"/>
      <c r="BS16" s="274"/>
      <c r="BT16" s="274"/>
      <c r="BU16" s="274"/>
      <c r="BV16" s="274"/>
      <c r="BW16" s="274"/>
      <c r="BX16" s="274"/>
      <c r="BY16" s="274"/>
      <c r="BZ16" s="274"/>
      <c r="CA16" s="274"/>
      <c r="CB16" s="274"/>
      <c r="CC16" s="274"/>
      <c r="CD16" s="274"/>
      <c r="CE16" s="274"/>
      <c r="CF16" s="274"/>
      <c r="CG16" s="274"/>
      <c r="CH16" s="274"/>
      <c r="CI16" s="274"/>
      <c r="CJ16" s="274"/>
      <c r="CK16" s="274"/>
      <c r="CL16" s="274"/>
      <c r="CM16" s="274"/>
      <c r="CN16" s="274"/>
      <c r="CO16" s="274"/>
      <c r="CP16" s="274"/>
      <c r="CQ16" s="274"/>
      <c r="CR16" s="274"/>
      <c r="CS16" s="274"/>
      <c r="CT16" s="274"/>
      <c r="CU16" s="274"/>
      <c r="CV16" s="274"/>
      <c r="CW16" s="274"/>
      <c r="CX16" s="274"/>
      <c r="CY16" s="274"/>
      <c r="CZ16" s="274"/>
      <c r="DA16" s="274"/>
      <c r="DB16" s="274"/>
      <c r="DC16" s="274"/>
      <c r="DD16" s="274"/>
      <c r="DE16" s="274"/>
      <c r="DF16" s="274"/>
      <c r="DG16" s="274"/>
      <c r="DH16" s="274"/>
      <c r="DI16" s="274"/>
      <c r="DJ16" s="274"/>
      <c r="DK16" s="274"/>
      <c r="DL16" s="274"/>
      <c r="DM16" s="274"/>
      <c r="DN16" s="274"/>
      <c r="DO16" s="274"/>
      <c r="DP16" s="274"/>
      <c r="DQ16" s="274"/>
      <c r="DR16" s="274"/>
      <c r="DS16" s="274"/>
      <c r="DT16" s="274"/>
      <c r="DU16" s="274"/>
      <c r="DV16" s="274"/>
      <c r="DW16" s="274"/>
      <c r="DX16" s="274"/>
      <c r="DY16" s="274"/>
      <c r="DZ16" s="274"/>
      <c r="EA16" s="274"/>
      <c r="EB16" s="274"/>
      <c r="EC16" s="274"/>
      <c r="ED16" s="274"/>
      <c r="EE16" s="274"/>
      <c r="EF16" s="274"/>
      <c r="EG16" s="274"/>
      <c r="EH16" s="274"/>
      <c r="EI16" s="274"/>
      <c r="EJ16" s="274"/>
      <c r="EK16" s="274"/>
      <c r="EL16" s="274"/>
      <c r="EM16" s="274"/>
      <c r="EN16" s="274"/>
      <c r="EO16" s="274"/>
      <c r="EP16" s="274"/>
      <c r="EQ16" s="274"/>
      <c r="ER16" s="274"/>
      <c r="ES16" s="274"/>
      <c r="ET16" s="274"/>
      <c r="EU16" s="274"/>
      <c r="EV16" s="274"/>
      <c r="EW16" s="274"/>
      <c r="EX16" s="274"/>
      <c r="EY16" s="274"/>
      <c r="EZ16" s="274"/>
      <c r="FA16" s="274"/>
      <c r="FB16" s="274"/>
      <c r="FC16" s="274"/>
      <c r="FD16" s="274"/>
      <c r="FE16" s="274"/>
      <c r="FF16" s="274"/>
      <c r="FG16" s="274"/>
      <c r="FH16" s="274"/>
      <c r="FI16" s="274"/>
      <c r="FJ16" s="274"/>
      <c r="FK16" s="274"/>
      <c r="FL16" s="274"/>
      <c r="FM16" s="274"/>
      <c r="FN16" s="274"/>
      <c r="FO16" s="274"/>
      <c r="FP16" s="274"/>
      <c r="FQ16" s="274"/>
      <c r="FR16" s="274"/>
      <c r="FS16" s="274"/>
      <c r="FT16" s="274"/>
      <c r="FU16" s="274"/>
      <c r="FV16" s="274"/>
      <c r="FW16" s="274"/>
      <c r="FX16" s="274"/>
      <c r="FY16" s="274"/>
      <c r="FZ16" s="274"/>
      <c r="GA16" s="274"/>
      <c r="GB16" s="274"/>
      <c r="GC16" s="274"/>
      <c r="GD16" s="274"/>
      <c r="GE16" s="274"/>
      <c r="GF16" s="274"/>
      <c r="GG16" s="274"/>
      <c r="GH16" s="274"/>
      <c r="GI16" s="274"/>
      <c r="GJ16" s="274"/>
      <c r="GK16" s="274"/>
      <c r="GL16" s="274"/>
      <c r="GM16" s="274"/>
      <c r="GN16" s="274"/>
      <c r="GO16" s="274"/>
      <c r="GP16" s="274"/>
      <c r="GQ16" s="274"/>
      <c r="GR16" s="274"/>
      <c r="GS16" s="274"/>
      <c r="GT16" s="274"/>
      <c r="GU16" s="274"/>
      <c r="GV16" s="274"/>
      <c r="GW16" s="274"/>
      <c r="GX16" s="274"/>
      <c r="GY16" s="274"/>
      <c r="GZ16" s="274"/>
      <c r="HA16" s="274"/>
      <c r="HB16" s="274"/>
      <c r="HC16" s="274"/>
      <c r="HD16" s="274"/>
      <c r="HE16" s="274"/>
      <c r="HF16" s="274"/>
      <c r="HG16" s="274"/>
      <c r="HH16" s="274"/>
      <c r="HI16" s="274"/>
      <c r="HJ16" s="274"/>
    </row>
    <row r="17" spans="1:218" ht="24.75" customHeight="1">
      <c r="A17" s="10"/>
      <c r="B17" s="494" t="s">
        <v>38</v>
      </c>
      <c r="C17" s="464"/>
      <c r="D17" s="464"/>
      <c r="E17" s="464"/>
      <c r="F17" s="464"/>
      <c r="G17" s="464"/>
      <c r="H17" s="464"/>
      <c r="I17" s="464"/>
      <c r="J17" s="464"/>
      <c r="K17" s="464"/>
      <c r="L17" s="495"/>
      <c r="M17" s="114"/>
      <c r="N17" s="319"/>
      <c r="O17" s="315"/>
      <c r="P17" s="315"/>
      <c r="Q17" s="315"/>
      <c r="R17" s="315"/>
      <c r="S17" s="315"/>
      <c r="T17" s="315"/>
      <c r="U17" s="326"/>
      <c r="V17" s="315"/>
      <c r="W17" s="315"/>
      <c r="X17" s="315"/>
      <c r="Y17" s="315"/>
      <c r="Z17" s="274"/>
      <c r="AA17" s="274"/>
      <c r="AB17" s="274"/>
      <c r="AC17" s="274"/>
      <c r="AD17" s="274"/>
      <c r="AE17" s="274"/>
      <c r="AF17" s="274"/>
      <c r="AG17" s="274"/>
      <c r="AH17" s="274"/>
      <c r="AI17" s="274"/>
      <c r="AJ17" s="274"/>
      <c r="AK17" s="274"/>
      <c r="AL17" s="274"/>
      <c r="AM17" s="274"/>
      <c r="AN17" s="274"/>
      <c r="AO17" s="274"/>
      <c r="AP17" s="274"/>
      <c r="AQ17" s="274"/>
      <c r="AR17" s="274"/>
      <c r="AS17" s="274"/>
      <c r="AT17" s="274"/>
      <c r="AU17" s="274"/>
      <c r="AV17" s="274"/>
      <c r="AW17" s="274"/>
      <c r="AX17" s="274"/>
      <c r="AY17" s="274"/>
      <c r="AZ17" s="274"/>
      <c r="BA17" s="274"/>
      <c r="BB17" s="274"/>
      <c r="BC17" s="274"/>
      <c r="BD17" s="274"/>
      <c r="BE17" s="274"/>
      <c r="BF17" s="274"/>
      <c r="BG17" s="274"/>
      <c r="BH17" s="274"/>
      <c r="BI17" s="274"/>
      <c r="BJ17" s="274"/>
      <c r="BK17" s="274"/>
      <c r="BL17" s="274"/>
      <c r="BM17" s="274"/>
      <c r="BN17" s="274"/>
      <c r="BO17" s="274"/>
      <c r="BP17" s="274"/>
      <c r="BQ17" s="274"/>
      <c r="BR17" s="274"/>
      <c r="BS17" s="274"/>
      <c r="BT17" s="274"/>
      <c r="BU17" s="274"/>
      <c r="BV17" s="274"/>
      <c r="BW17" s="274"/>
      <c r="BX17" s="274"/>
      <c r="BY17" s="274"/>
      <c r="BZ17" s="274"/>
      <c r="CA17" s="274"/>
      <c r="CB17" s="274"/>
      <c r="CC17" s="274"/>
      <c r="CD17" s="274"/>
      <c r="CE17" s="274"/>
      <c r="CF17" s="274"/>
      <c r="CG17" s="274"/>
      <c r="CH17" s="274"/>
      <c r="CI17" s="274"/>
      <c r="CJ17" s="274"/>
      <c r="CK17" s="274"/>
      <c r="CL17" s="274"/>
      <c r="CM17" s="274"/>
      <c r="CN17" s="274"/>
      <c r="CO17" s="274"/>
      <c r="CP17" s="274"/>
      <c r="CQ17" s="274"/>
      <c r="CR17" s="274"/>
      <c r="CS17" s="274"/>
      <c r="CT17" s="274"/>
      <c r="CU17" s="274"/>
      <c r="CV17" s="274"/>
      <c r="CW17" s="274"/>
      <c r="CX17" s="274"/>
      <c r="CY17" s="274"/>
      <c r="CZ17" s="274"/>
      <c r="DA17" s="274"/>
      <c r="DB17" s="274"/>
      <c r="DC17" s="274"/>
      <c r="DD17" s="274"/>
      <c r="DE17" s="274"/>
      <c r="DF17" s="274"/>
      <c r="DG17" s="274"/>
      <c r="DH17" s="274"/>
      <c r="DI17" s="274"/>
      <c r="DJ17" s="274"/>
      <c r="DK17" s="274"/>
      <c r="DL17" s="274"/>
      <c r="DM17" s="274"/>
      <c r="DN17" s="274"/>
      <c r="DO17" s="274"/>
      <c r="DP17" s="274"/>
      <c r="DQ17" s="274"/>
      <c r="DR17" s="274"/>
      <c r="DS17" s="274"/>
      <c r="DT17" s="274"/>
      <c r="DU17" s="274"/>
      <c r="DV17" s="274"/>
      <c r="DW17" s="274"/>
      <c r="DX17" s="274"/>
      <c r="DY17" s="274"/>
      <c r="DZ17" s="274"/>
      <c r="EA17" s="274"/>
      <c r="EB17" s="274"/>
      <c r="EC17" s="274"/>
      <c r="ED17" s="274"/>
      <c r="EE17" s="274"/>
      <c r="EF17" s="274"/>
      <c r="EG17" s="274"/>
      <c r="EH17" s="274"/>
      <c r="EI17" s="274"/>
      <c r="EJ17" s="274"/>
      <c r="EK17" s="274"/>
      <c r="EL17" s="274"/>
      <c r="EM17" s="274"/>
      <c r="EN17" s="274"/>
      <c r="EO17" s="274"/>
      <c r="EP17" s="274"/>
      <c r="EQ17" s="274"/>
      <c r="ER17" s="274"/>
      <c r="ES17" s="274"/>
      <c r="ET17" s="274"/>
      <c r="EU17" s="274"/>
      <c r="EV17" s="274"/>
      <c r="EW17" s="274"/>
      <c r="EX17" s="274"/>
      <c r="EY17" s="274"/>
      <c r="EZ17" s="274"/>
      <c r="FA17" s="274"/>
      <c r="FB17" s="274"/>
      <c r="FC17" s="274"/>
      <c r="FD17" s="274"/>
      <c r="FE17" s="274"/>
      <c r="FF17" s="274"/>
      <c r="FG17" s="274"/>
      <c r="FH17" s="274"/>
      <c r="FI17" s="274"/>
      <c r="FJ17" s="274"/>
      <c r="FK17" s="274"/>
      <c r="FL17" s="274"/>
      <c r="FM17" s="274"/>
      <c r="FN17" s="274"/>
      <c r="FO17" s="274"/>
      <c r="FP17" s="274"/>
      <c r="FQ17" s="274"/>
      <c r="FR17" s="274"/>
      <c r="FS17" s="274"/>
      <c r="FT17" s="274"/>
      <c r="FU17" s="274"/>
      <c r="FV17" s="274"/>
      <c r="FW17" s="274"/>
      <c r="FX17" s="274"/>
      <c r="FY17" s="274"/>
      <c r="FZ17" s="274"/>
      <c r="GA17" s="274"/>
      <c r="GB17" s="274"/>
      <c r="GC17" s="274"/>
      <c r="GD17" s="274"/>
      <c r="GE17" s="274"/>
      <c r="GF17" s="274"/>
      <c r="GG17" s="274"/>
      <c r="GH17" s="274"/>
      <c r="GI17" s="274"/>
      <c r="GJ17" s="274"/>
      <c r="GK17" s="274"/>
      <c r="GL17" s="274"/>
      <c r="GM17" s="274"/>
      <c r="GN17" s="274"/>
      <c r="GO17" s="274"/>
      <c r="GP17" s="274"/>
      <c r="GQ17" s="274"/>
      <c r="GR17" s="274"/>
      <c r="GS17" s="274"/>
      <c r="GT17" s="274"/>
      <c r="GU17" s="274"/>
      <c r="GV17" s="274"/>
      <c r="GW17" s="274"/>
      <c r="GX17" s="274"/>
      <c r="GY17" s="274"/>
      <c r="GZ17" s="274"/>
      <c r="HA17" s="274"/>
      <c r="HB17" s="274"/>
      <c r="HC17" s="274"/>
      <c r="HD17" s="274"/>
      <c r="HE17" s="274"/>
      <c r="HF17" s="274"/>
      <c r="HG17" s="274"/>
      <c r="HH17" s="274"/>
      <c r="HI17" s="274"/>
      <c r="HJ17" s="274"/>
    </row>
    <row r="18" spans="1:218" s="55" customFormat="1" ht="12.75">
      <c r="A18" s="87"/>
      <c r="B18" s="58"/>
      <c r="C18" s="58"/>
      <c r="D18" s="58"/>
      <c r="E18" s="58"/>
      <c r="F18" s="58"/>
      <c r="G18" s="58"/>
      <c r="H18" s="58"/>
      <c r="I18" s="58"/>
      <c r="J18" s="59"/>
      <c r="K18" s="58"/>
      <c r="L18" s="58"/>
      <c r="M18" s="87"/>
      <c r="N18" s="317"/>
      <c r="O18" s="317"/>
      <c r="P18" s="317"/>
      <c r="Q18" s="315"/>
      <c r="R18" s="315"/>
      <c r="S18" s="315"/>
      <c r="T18" s="315"/>
      <c r="U18" s="327"/>
      <c r="V18" s="317"/>
      <c r="W18" s="317"/>
      <c r="X18" s="317"/>
      <c r="Y18" s="317"/>
      <c r="Z18" s="273"/>
      <c r="AA18" s="273"/>
      <c r="AB18" s="273"/>
      <c r="AC18" s="273"/>
      <c r="AD18" s="273"/>
      <c r="AE18" s="273"/>
      <c r="AF18" s="273"/>
      <c r="AG18" s="273"/>
      <c r="AH18" s="273"/>
      <c r="AI18" s="273"/>
      <c r="AJ18" s="273"/>
      <c r="AK18" s="273"/>
      <c r="AL18" s="273"/>
      <c r="AM18" s="273"/>
      <c r="AN18" s="273"/>
      <c r="AO18" s="273"/>
      <c r="AP18" s="273"/>
      <c r="AQ18" s="273"/>
      <c r="AR18" s="273"/>
      <c r="AS18" s="273"/>
      <c r="AT18" s="273"/>
      <c r="AU18" s="273"/>
      <c r="AV18" s="273"/>
      <c r="AW18" s="273"/>
      <c r="AX18" s="273"/>
      <c r="AY18" s="273"/>
      <c r="AZ18" s="273"/>
      <c r="BA18" s="273"/>
      <c r="BB18" s="273"/>
      <c r="BC18" s="273"/>
      <c r="BD18" s="273"/>
      <c r="BE18" s="273"/>
      <c r="BF18" s="273"/>
      <c r="BG18" s="273"/>
      <c r="BH18" s="273"/>
      <c r="BI18" s="273"/>
      <c r="BJ18" s="273"/>
      <c r="BK18" s="273"/>
      <c r="BL18" s="273"/>
      <c r="BM18" s="273"/>
      <c r="BN18" s="273"/>
      <c r="BO18" s="273"/>
      <c r="BP18" s="273"/>
      <c r="BQ18" s="273"/>
      <c r="BR18" s="273"/>
      <c r="BS18" s="273"/>
      <c r="BT18" s="273"/>
      <c r="BU18" s="273"/>
      <c r="BV18" s="273"/>
      <c r="BW18" s="273"/>
      <c r="BX18" s="273"/>
      <c r="BY18" s="273"/>
      <c r="BZ18" s="273"/>
      <c r="CA18" s="273"/>
      <c r="CB18" s="273"/>
      <c r="CC18" s="273"/>
      <c r="CD18" s="273"/>
      <c r="CE18" s="273"/>
      <c r="CF18" s="273"/>
      <c r="CG18" s="273"/>
      <c r="CH18" s="273"/>
      <c r="CI18" s="273"/>
      <c r="CJ18" s="273"/>
      <c r="CK18" s="273"/>
      <c r="CL18" s="273"/>
      <c r="CM18" s="273"/>
      <c r="CN18" s="273"/>
      <c r="CO18" s="273"/>
      <c r="CP18" s="273"/>
      <c r="CQ18" s="273"/>
      <c r="CR18" s="273"/>
      <c r="CS18" s="273"/>
      <c r="CT18" s="273"/>
      <c r="CU18" s="273"/>
      <c r="CV18" s="273"/>
      <c r="CW18" s="273"/>
      <c r="CX18" s="273"/>
      <c r="CY18" s="273"/>
      <c r="CZ18" s="273"/>
      <c r="DA18" s="273"/>
      <c r="DB18" s="273"/>
      <c r="DC18" s="273"/>
      <c r="DD18" s="273"/>
      <c r="DE18" s="273"/>
      <c r="DF18" s="273"/>
      <c r="DG18" s="273"/>
      <c r="DH18" s="273"/>
      <c r="DI18" s="273"/>
      <c r="DJ18" s="273"/>
      <c r="DK18" s="273"/>
      <c r="DL18" s="273"/>
      <c r="DM18" s="273"/>
      <c r="DN18" s="273"/>
      <c r="DO18" s="273"/>
      <c r="DP18" s="273"/>
      <c r="DQ18" s="273"/>
      <c r="DR18" s="273"/>
      <c r="DS18" s="273"/>
      <c r="DT18" s="273"/>
      <c r="DU18" s="273"/>
      <c r="DV18" s="273"/>
      <c r="DW18" s="273"/>
      <c r="DX18" s="273"/>
      <c r="DY18" s="273"/>
      <c r="DZ18" s="273"/>
      <c r="EA18" s="273"/>
      <c r="EB18" s="273"/>
      <c r="EC18" s="273"/>
      <c r="ED18" s="273"/>
      <c r="EE18" s="273"/>
      <c r="EF18" s="273"/>
      <c r="EG18" s="273"/>
      <c r="EH18" s="273"/>
      <c r="EI18" s="273"/>
      <c r="EJ18" s="273"/>
      <c r="EK18" s="273"/>
      <c r="EL18" s="273"/>
      <c r="EM18" s="273"/>
      <c r="EN18" s="273"/>
      <c r="EO18" s="273"/>
      <c r="EP18" s="273"/>
      <c r="EQ18" s="273"/>
      <c r="ER18" s="273"/>
      <c r="ES18" s="273"/>
      <c r="ET18" s="273"/>
      <c r="EU18" s="273"/>
      <c r="EV18" s="273"/>
      <c r="EW18" s="273"/>
      <c r="EX18" s="273"/>
      <c r="EY18" s="273"/>
      <c r="EZ18" s="273"/>
      <c r="FA18" s="273"/>
      <c r="FB18" s="273"/>
      <c r="FC18" s="273"/>
      <c r="FD18" s="273"/>
      <c r="FE18" s="273"/>
      <c r="FF18" s="273"/>
      <c r="FG18" s="273"/>
      <c r="FH18" s="273"/>
      <c r="FI18" s="273"/>
      <c r="FJ18" s="273"/>
      <c r="FK18" s="273"/>
      <c r="FL18" s="273"/>
      <c r="FM18" s="273"/>
      <c r="FN18" s="273"/>
      <c r="FO18" s="273"/>
      <c r="FP18" s="273"/>
      <c r="FQ18" s="273"/>
      <c r="FR18" s="273"/>
      <c r="FS18" s="273"/>
      <c r="FT18" s="273"/>
      <c r="FU18" s="273"/>
      <c r="FV18" s="273"/>
      <c r="FW18" s="273"/>
      <c r="FX18" s="273"/>
      <c r="FY18" s="273"/>
      <c r="FZ18" s="273"/>
      <c r="GA18" s="273"/>
      <c r="GB18" s="273"/>
      <c r="GC18" s="273"/>
      <c r="GD18" s="273"/>
      <c r="GE18" s="273"/>
      <c r="GF18" s="273"/>
      <c r="GG18" s="273"/>
      <c r="GH18" s="273"/>
      <c r="GI18" s="273"/>
      <c r="GJ18" s="273"/>
      <c r="GK18" s="273"/>
      <c r="GL18" s="273"/>
      <c r="GM18" s="273"/>
      <c r="GN18" s="273"/>
      <c r="GO18" s="273"/>
      <c r="GP18" s="273"/>
      <c r="GQ18" s="273"/>
      <c r="GR18" s="273"/>
      <c r="GS18" s="273"/>
      <c r="GT18" s="273"/>
      <c r="GU18" s="273"/>
      <c r="GV18" s="273"/>
      <c r="GW18" s="273"/>
      <c r="GX18" s="273"/>
      <c r="GY18" s="273"/>
      <c r="GZ18" s="273"/>
      <c r="HA18" s="273"/>
      <c r="HB18" s="273"/>
      <c r="HC18" s="273"/>
      <c r="HD18" s="273"/>
      <c r="HE18" s="273"/>
      <c r="HF18" s="273"/>
      <c r="HG18" s="273"/>
      <c r="HH18" s="273"/>
      <c r="HI18" s="273"/>
      <c r="HJ18" s="273"/>
    </row>
    <row r="19" spans="1:218" s="55" customFormat="1" ht="9.75" customHeight="1">
      <c r="A19" s="87"/>
      <c r="B19" s="272"/>
      <c r="C19" s="363"/>
      <c r="D19" s="363"/>
      <c r="E19" s="363"/>
      <c r="F19" s="363"/>
      <c r="G19" s="363"/>
      <c r="H19" s="363"/>
      <c r="I19" s="363"/>
      <c r="J19" s="363"/>
      <c r="K19" s="63"/>
      <c r="L19" s="63"/>
      <c r="M19" s="87"/>
      <c r="N19" s="317"/>
      <c r="O19" s="317"/>
      <c r="P19" s="317"/>
      <c r="Q19" s="315"/>
      <c r="R19" s="315"/>
      <c r="S19" s="315"/>
      <c r="T19" s="315"/>
      <c r="U19" s="317"/>
      <c r="V19" s="317"/>
      <c r="W19" s="317"/>
      <c r="X19" s="317"/>
      <c r="Y19" s="317"/>
      <c r="Z19" s="273"/>
      <c r="AA19" s="273"/>
      <c r="AB19" s="273"/>
      <c r="AC19" s="273"/>
      <c r="AD19" s="273"/>
      <c r="AE19" s="273"/>
      <c r="AF19" s="273"/>
      <c r="AG19" s="273"/>
      <c r="AH19" s="273"/>
      <c r="AI19" s="273"/>
      <c r="AJ19" s="273"/>
      <c r="AK19" s="273"/>
      <c r="AL19" s="273"/>
      <c r="AM19" s="273"/>
      <c r="AN19" s="273"/>
      <c r="AO19" s="273"/>
      <c r="AP19" s="273"/>
      <c r="AQ19" s="273"/>
      <c r="AR19" s="273"/>
      <c r="AS19" s="273"/>
      <c r="AT19" s="273"/>
      <c r="AU19" s="273"/>
      <c r="AV19" s="273"/>
      <c r="AW19" s="273"/>
      <c r="AX19" s="273"/>
      <c r="AY19" s="273"/>
      <c r="AZ19" s="273"/>
      <c r="BA19" s="273"/>
      <c r="BB19" s="273"/>
      <c r="BC19" s="273"/>
      <c r="BD19" s="273"/>
      <c r="BE19" s="273"/>
      <c r="BF19" s="273"/>
      <c r="BG19" s="273"/>
      <c r="BH19" s="273"/>
      <c r="BI19" s="273"/>
      <c r="BJ19" s="273"/>
      <c r="BK19" s="273"/>
      <c r="BL19" s="273"/>
      <c r="BM19" s="273"/>
      <c r="BN19" s="273"/>
      <c r="BO19" s="273"/>
      <c r="BP19" s="273"/>
      <c r="BQ19" s="273"/>
      <c r="BR19" s="273"/>
      <c r="BS19" s="273"/>
      <c r="BT19" s="273"/>
      <c r="BU19" s="273"/>
      <c r="BV19" s="273"/>
      <c r="BW19" s="273"/>
      <c r="BX19" s="273"/>
      <c r="BY19" s="273"/>
      <c r="BZ19" s="273"/>
      <c r="CA19" s="273"/>
      <c r="CB19" s="273"/>
      <c r="CC19" s="273"/>
      <c r="CD19" s="273"/>
      <c r="CE19" s="273"/>
      <c r="CF19" s="273"/>
      <c r="CG19" s="273"/>
      <c r="CH19" s="273"/>
      <c r="CI19" s="273"/>
      <c r="CJ19" s="273"/>
      <c r="CK19" s="273"/>
      <c r="CL19" s="273"/>
      <c r="CM19" s="273"/>
      <c r="CN19" s="273"/>
      <c r="CO19" s="273"/>
      <c r="CP19" s="273"/>
      <c r="CQ19" s="273"/>
      <c r="CR19" s="273"/>
      <c r="CS19" s="273"/>
      <c r="CT19" s="273"/>
      <c r="CU19" s="273"/>
      <c r="CV19" s="273"/>
      <c r="CW19" s="273"/>
      <c r="CX19" s="273"/>
      <c r="CY19" s="273"/>
      <c r="CZ19" s="273"/>
      <c r="DA19" s="273"/>
      <c r="DB19" s="273"/>
      <c r="DC19" s="273"/>
      <c r="DD19" s="273"/>
      <c r="DE19" s="273"/>
      <c r="DF19" s="273"/>
      <c r="DG19" s="273"/>
      <c r="DH19" s="273"/>
      <c r="DI19" s="273"/>
      <c r="DJ19" s="273"/>
      <c r="DK19" s="273"/>
      <c r="DL19" s="273"/>
      <c r="DM19" s="273"/>
      <c r="DN19" s="273"/>
      <c r="DO19" s="273"/>
      <c r="DP19" s="273"/>
      <c r="DQ19" s="273"/>
      <c r="DR19" s="273"/>
      <c r="DS19" s="273"/>
      <c r="DT19" s="273"/>
      <c r="DU19" s="273"/>
      <c r="DV19" s="273"/>
      <c r="DW19" s="273"/>
      <c r="DX19" s="273"/>
      <c r="DY19" s="273"/>
      <c r="DZ19" s="273"/>
      <c r="EA19" s="273"/>
      <c r="EB19" s="273"/>
      <c r="EC19" s="273"/>
      <c r="ED19" s="273"/>
      <c r="EE19" s="273"/>
      <c r="EF19" s="273"/>
      <c r="EG19" s="273"/>
      <c r="EH19" s="273"/>
      <c r="EI19" s="273"/>
      <c r="EJ19" s="273"/>
      <c r="EK19" s="273"/>
      <c r="EL19" s="273"/>
      <c r="EM19" s="273"/>
      <c r="EN19" s="273"/>
      <c r="EO19" s="273"/>
      <c r="EP19" s="273"/>
      <c r="EQ19" s="273"/>
      <c r="ER19" s="273"/>
      <c r="ES19" s="273"/>
      <c r="ET19" s="273"/>
      <c r="EU19" s="273"/>
      <c r="EV19" s="273"/>
      <c r="EW19" s="273"/>
      <c r="EX19" s="273"/>
      <c r="EY19" s="273"/>
      <c r="EZ19" s="273"/>
      <c r="FA19" s="273"/>
      <c r="FB19" s="273"/>
      <c r="FC19" s="273"/>
      <c r="FD19" s="273"/>
      <c r="FE19" s="273"/>
      <c r="FF19" s="273"/>
      <c r="FG19" s="273"/>
      <c r="FH19" s="273"/>
      <c r="FI19" s="273"/>
      <c r="FJ19" s="273"/>
      <c r="FK19" s="273"/>
      <c r="FL19" s="273"/>
      <c r="FM19" s="273"/>
      <c r="FN19" s="273"/>
      <c r="FO19" s="273"/>
      <c r="FP19" s="273"/>
      <c r="FQ19" s="273"/>
      <c r="FR19" s="273"/>
      <c r="FS19" s="273"/>
      <c r="FT19" s="273"/>
      <c r="FU19" s="273"/>
      <c r="FV19" s="273"/>
      <c r="FW19" s="273"/>
      <c r="FX19" s="273"/>
      <c r="FY19" s="273"/>
      <c r="FZ19" s="273"/>
      <c r="GA19" s="273"/>
      <c r="GB19" s="273"/>
      <c r="GC19" s="273"/>
      <c r="GD19" s="273"/>
      <c r="GE19" s="273"/>
      <c r="GF19" s="273"/>
      <c r="GG19" s="273"/>
      <c r="GH19" s="273"/>
      <c r="GI19" s="273"/>
      <c r="GJ19" s="273"/>
      <c r="GK19" s="273"/>
      <c r="GL19" s="273"/>
      <c r="GM19" s="273"/>
      <c r="GN19" s="273"/>
      <c r="GO19" s="273"/>
      <c r="GP19" s="273"/>
      <c r="GQ19" s="273"/>
      <c r="GR19" s="273"/>
      <c r="GS19" s="273"/>
      <c r="GT19" s="273"/>
      <c r="GU19" s="273"/>
      <c r="GV19" s="273"/>
      <c r="GW19" s="273"/>
      <c r="GX19" s="273"/>
      <c r="GY19" s="273"/>
      <c r="GZ19" s="273"/>
      <c r="HA19" s="273"/>
      <c r="HB19" s="273"/>
      <c r="HC19" s="273"/>
      <c r="HD19" s="273"/>
      <c r="HE19" s="273"/>
      <c r="HF19" s="273"/>
      <c r="HG19" s="273"/>
      <c r="HH19" s="273"/>
      <c r="HI19" s="273"/>
      <c r="HJ19" s="273"/>
    </row>
    <row r="20" spans="1:218" ht="21" customHeight="1">
      <c r="A20" s="87"/>
      <c r="B20" s="272"/>
      <c r="C20" s="366"/>
      <c r="D20" s="366"/>
      <c r="E20" s="366"/>
      <c r="F20" s="366"/>
      <c r="G20" s="366"/>
      <c r="H20" s="366"/>
      <c r="I20" s="366"/>
      <c r="J20" s="62"/>
      <c r="K20" s="63"/>
      <c r="L20" s="63"/>
      <c r="M20" s="87"/>
      <c r="N20" s="333" t="s">
        <v>221</v>
      </c>
      <c r="O20" s="333" t="s">
        <v>222</v>
      </c>
      <c r="P20" s="333" t="s">
        <v>223</v>
      </c>
      <c r="Q20" s="325"/>
      <c r="R20" s="325"/>
      <c r="S20" s="325"/>
      <c r="T20" s="325"/>
      <c r="U20" s="315"/>
      <c r="V20" s="315"/>
      <c r="W20" s="315"/>
      <c r="X20" s="315"/>
      <c r="Y20" s="315"/>
      <c r="Z20" s="274"/>
      <c r="AA20" s="274"/>
      <c r="AB20" s="274"/>
      <c r="AC20" s="274"/>
      <c r="AD20" s="274"/>
      <c r="AE20" s="274"/>
      <c r="AF20" s="274"/>
      <c r="AG20" s="274"/>
      <c r="AH20" s="274"/>
      <c r="AI20" s="274"/>
      <c r="AJ20" s="274"/>
      <c r="AK20" s="274"/>
      <c r="AL20" s="274"/>
      <c r="AM20" s="274"/>
      <c r="AN20" s="274"/>
      <c r="AO20" s="274"/>
      <c r="AP20" s="274"/>
      <c r="AQ20" s="274"/>
      <c r="AR20" s="274"/>
      <c r="AS20" s="274"/>
      <c r="AT20" s="274"/>
      <c r="AU20" s="274"/>
      <c r="AV20" s="274"/>
      <c r="AW20" s="274"/>
      <c r="AX20" s="274"/>
      <c r="AY20" s="274"/>
      <c r="AZ20" s="274"/>
      <c r="BA20" s="274"/>
      <c r="BB20" s="274"/>
      <c r="BC20" s="274"/>
      <c r="BD20" s="274"/>
      <c r="BE20" s="274"/>
      <c r="BF20" s="274"/>
      <c r="BG20" s="274"/>
      <c r="BH20" s="274"/>
      <c r="BI20" s="274"/>
      <c r="BJ20" s="274"/>
      <c r="BK20" s="274"/>
      <c r="BL20" s="274"/>
      <c r="BM20" s="274"/>
      <c r="BN20" s="274"/>
      <c r="BO20" s="274"/>
      <c r="BP20" s="274"/>
      <c r="BQ20" s="274"/>
      <c r="BR20" s="274"/>
      <c r="BS20" s="274"/>
      <c r="BT20" s="274"/>
      <c r="BU20" s="274"/>
      <c r="BV20" s="274"/>
      <c r="BW20" s="274"/>
      <c r="BX20" s="274"/>
      <c r="BY20" s="274"/>
      <c r="BZ20" s="274"/>
      <c r="CA20" s="274"/>
      <c r="CB20" s="274"/>
      <c r="CC20" s="274"/>
      <c r="CD20" s="274"/>
      <c r="CE20" s="274"/>
      <c r="CF20" s="274"/>
      <c r="CG20" s="274"/>
      <c r="CH20" s="274"/>
      <c r="CI20" s="274"/>
      <c r="CJ20" s="274"/>
      <c r="CK20" s="274"/>
      <c r="CL20" s="274"/>
      <c r="CM20" s="274"/>
      <c r="CN20" s="274"/>
      <c r="CO20" s="274"/>
      <c r="CP20" s="274"/>
      <c r="CQ20" s="274"/>
      <c r="CR20" s="274"/>
      <c r="CS20" s="274"/>
      <c r="CT20" s="274"/>
      <c r="CU20" s="274"/>
      <c r="CV20" s="274"/>
      <c r="CW20" s="274"/>
      <c r="CX20" s="274"/>
      <c r="CY20" s="274"/>
      <c r="CZ20" s="274"/>
      <c r="DA20" s="274"/>
      <c r="DB20" s="274"/>
      <c r="DC20" s="274"/>
      <c r="DD20" s="274"/>
      <c r="DE20" s="274"/>
      <c r="DF20" s="274"/>
      <c r="DG20" s="274"/>
      <c r="DH20" s="274"/>
      <c r="DI20" s="274"/>
      <c r="DJ20" s="274"/>
      <c r="DK20" s="274"/>
      <c r="DL20" s="274"/>
      <c r="DM20" s="274"/>
      <c r="DN20" s="274"/>
      <c r="DO20" s="274"/>
      <c r="DP20" s="274"/>
      <c r="DQ20" s="274"/>
      <c r="DR20" s="274"/>
      <c r="DS20" s="274"/>
      <c r="DT20" s="274"/>
      <c r="DU20" s="274"/>
      <c r="DV20" s="274"/>
      <c r="DW20" s="274"/>
      <c r="DX20" s="274"/>
      <c r="DY20" s="274"/>
      <c r="DZ20" s="274"/>
      <c r="EA20" s="274"/>
      <c r="EB20" s="274"/>
      <c r="EC20" s="274"/>
      <c r="ED20" s="274"/>
      <c r="EE20" s="274"/>
      <c r="EF20" s="274"/>
      <c r="EG20" s="274"/>
      <c r="EH20" s="274"/>
      <c r="EI20" s="274"/>
      <c r="EJ20" s="274"/>
      <c r="EK20" s="274"/>
      <c r="EL20" s="274"/>
      <c r="EM20" s="274"/>
      <c r="EN20" s="274"/>
      <c r="EO20" s="274"/>
      <c r="EP20" s="274"/>
      <c r="EQ20" s="274"/>
      <c r="ER20" s="274"/>
      <c r="ES20" s="274"/>
      <c r="ET20" s="274"/>
      <c r="EU20" s="274"/>
      <c r="EV20" s="274"/>
      <c r="EW20" s="274"/>
      <c r="EX20" s="274"/>
      <c r="EY20" s="274"/>
      <c r="EZ20" s="274"/>
      <c r="FA20" s="274"/>
      <c r="FB20" s="274"/>
      <c r="FC20" s="274"/>
      <c r="FD20" s="274"/>
      <c r="FE20" s="274"/>
      <c r="FF20" s="274"/>
      <c r="FG20" s="274"/>
      <c r="FH20" s="274"/>
      <c r="FI20" s="274"/>
      <c r="FJ20" s="274"/>
      <c r="FK20" s="274"/>
      <c r="FL20" s="274"/>
      <c r="FM20" s="274"/>
      <c r="FN20" s="274"/>
      <c r="FO20" s="274"/>
      <c r="FP20" s="274"/>
      <c r="FQ20" s="274"/>
      <c r="FR20" s="274"/>
      <c r="FS20" s="274"/>
      <c r="FT20" s="274"/>
      <c r="FU20" s="274"/>
      <c r="FV20" s="274"/>
      <c r="FW20" s="274"/>
      <c r="FX20" s="274"/>
      <c r="FY20" s="274"/>
      <c r="FZ20" s="274"/>
      <c r="GA20" s="274"/>
      <c r="GB20" s="274"/>
      <c r="GC20" s="274"/>
      <c r="GD20" s="274"/>
      <c r="GE20" s="274"/>
      <c r="GF20" s="274"/>
      <c r="GG20" s="274"/>
      <c r="GH20" s="274"/>
      <c r="GI20" s="274"/>
      <c r="GJ20" s="274"/>
      <c r="GK20" s="274"/>
      <c r="GL20" s="274"/>
      <c r="GM20" s="274"/>
      <c r="GN20" s="274"/>
      <c r="GO20" s="274"/>
      <c r="GP20" s="274"/>
      <c r="GQ20" s="274"/>
      <c r="GR20" s="274"/>
      <c r="GS20" s="274"/>
      <c r="GT20" s="274"/>
      <c r="GU20" s="274"/>
      <c r="GV20" s="274"/>
      <c r="GW20" s="274"/>
      <c r="GX20" s="274"/>
      <c r="GY20" s="274"/>
      <c r="GZ20" s="274"/>
      <c r="HA20" s="274"/>
      <c r="HB20" s="274"/>
      <c r="HC20" s="274"/>
      <c r="HD20" s="274"/>
      <c r="HE20" s="274"/>
      <c r="HF20" s="274"/>
      <c r="HG20" s="274"/>
      <c r="HH20" s="274"/>
      <c r="HI20" s="274"/>
      <c r="HJ20" s="274"/>
    </row>
    <row r="21" spans="1:218" ht="11.45" hidden="1" customHeight="1">
      <c r="A21" s="87"/>
      <c r="B21" s="272"/>
      <c r="C21" s="154"/>
      <c r="D21" s="154"/>
      <c r="E21" s="154"/>
      <c r="F21" s="154"/>
      <c r="G21" s="154"/>
      <c r="H21" s="154"/>
      <c r="I21" s="154"/>
      <c r="J21" s="62"/>
      <c r="K21" s="63"/>
      <c r="L21" s="63"/>
      <c r="M21" s="87"/>
      <c r="N21" s="319"/>
      <c r="O21" s="315"/>
      <c r="P21" s="315"/>
      <c r="Q21" s="326"/>
      <c r="R21" s="326"/>
      <c r="S21" s="326"/>
      <c r="T21" s="326"/>
      <c r="U21" s="315"/>
      <c r="V21" s="315"/>
      <c r="W21" s="315"/>
      <c r="X21" s="315"/>
      <c r="Y21" s="315"/>
      <c r="Z21" s="274"/>
      <c r="AA21" s="274"/>
      <c r="AB21" s="274"/>
      <c r="AC21" s="274"/>
      <c r="AD21" s="274"/>
      <c r="AE21" s="274"/>
      <c r="AF21" s="274"/>
      <c r="AG21" s="274"/>
      <c r="AH21" s="274"/>
      <c r="AI21" s="274"/>
      <c r="AJ21" s="274"/>
      <c r="AK21" s="274"/>
      <c r="AL21" s="274"/>
      <c r="AM21" s="274"/>
      <c r="AN21" s="274"/>
      <c r="AO21" s="274"/>
      <c r="AP21" s="274"/>
      <c r="AQ21" s="274"/>
      <c r="AR21" s="274"/>
      <c r="AS21" s="274"/>
      <c r="AT21" s="274"/>
      <c r="AU21" s="274"/>
      <c r="AV21" s="274"/>
      <c r="AW21" s="274"/>
      <c r="AX21" s="274"/>
      <c r="AY21" s="274"/>
      <c r="AZ21" s="274"/>
      <c r="BA21" s="274"/>
      <c r="BB21" s="274"/>
      <c r="BC21" s="274"/>
      <c r="BD21" s="274"/>
      <c r="BE21" s="274"/>
      <c r="BF21" s="274"/>
      <c r="BG21" s="274"/>
      <c r="BH21" s="274"/>
      <c r="BI21" s="274"/>
      <c r="BJ21" s="274"/>
      <c r="BK21" s="274"/>
      <c r="BL21" s="274"/>
      <c r="BM21" s="274"/>
      <c r="BN21" s="274"/>
      <c r="BO21" s="274"/>
      <c r="BP21" s="274"/>
      <c r="BQ21" s="274"/>
      <c r="BR21" s="274"/>
      <c r="BS21" s="274"/>
      <c r="BT21" s="274"/>
      <c r="BU21" s="274"/>
      <c r="BV21" s="274"/>
      <c r="BW21" s="274"/>
      <c r="BX21" s="274"/>
      <c r="BY21" s="274"/>
      <c r="BZ21" s="274"/>
      <c r="CA21" s="274"/>
      <c r="CB21" s="274"/>
      <c r="CC21" s="274"/>
      <c r="CD21" s="274"/>
      <c r="CE21" s="274"/>
      <c r="CF21" s="274"/>
      <c r="CG21" s="274"/>
      <c r="CH21" s="274"/>
      <c r="CI21" s="274"/>
      <c r="CJ21" s="274"/>
      <c r="CK21" s="274"/>
      <c r="CL21" s="274"/>
      <c r="CM21" s="274"/>
      <c r="CN21" s="274"/>
      <c r="CO21" s="274"/>
      <c r="CP21" s="274"/>
      <c r="CQ21" s="274"/>
      <c r="CR21" s="274"/>
      <c r="CS21" s="274"/>
      <c r="CT21" s="274"/>
      <c r="CU21" s="274"/>
      <c r="CV21" s="274"/>
      <c r="CW21" s="274"/>
      <c r="CX21" s="274"/>
      <c r="CY21" s="274"/>
      <c r="CZ21" s="274"/>
      <c r="DA21" s="274"/>
      <c r="DB21" s="274"/>
      <c r="DC21" s="274"/>
      <c r="DD21" s="274"/>
      <c r="DE21" s="274"/>
      <c r="DF21" s="274"/>
      <c r="DG21" s="274"/>
      <c r="DH21" s="274"/>
      <c r="DI21" s="274"/>
      <c r="DJ21" s="274"/>
      <c r="DK21" s="274"/>
      <c r="DL21" s="274"/>
      <c r="DM21" s="274"/>
      <c r="DN21" s="274"/>
      <c r="DO21" s="274"/>
      <c r="DP21" s="274"/>
      <c r="DQ21" s="274"/>
      <c r="DR21" s="274"/>
      <c r="DS21" s="274"/>
      <c r="DT21" s="274"/>
      <c r="DU21" s="274"/>
      <c r="DV21" s="274"/>
      <c r="DW21" s="274"/>
      <c r="DX21" s="274"/>
      <c r="DY21" s="274"/>
      <c r="DZ21" s="274"/>
      <c r="EA21" s="274"/>
      <c r="EB21" s="274"/>
      <c r="EC21" s="274"/>
      <c r="ED21" s="274"/>
      <c r="EE21" s="274"/>
      <c r="EF21" s="274"/>
      <c r="EG21" s="274"/>
      <c r="EH21" s="274"/>
      <c r="EI21" s="274"/>
      <c r="EJ21" s="274"/>
      <c r="EK21" s="274"/>
      <c r="EL21" s="274"/>
      <c r="EM21" s="274"/>
      <c r="EN21" s="274"/>
      <c r="EO21" s="274"/>
      <c r="EP21" s="274"/>
      <c r="EQ21" s="274"/>
      <c r="ER21" s="274"/>
      <c r="ES21" s="274"/>
      <c r="ET21" s="274"/>
      <c r="EU21" s="274"/>
      <c r="EV21" s="274"/>
      <c r="EW21" s="274"/>
      <c r="EX21" s="274"/>
      <c r="EY21" s="274"/>
      <c r="EZ21" s="274"/>
      <c r="FA21" s="274"/>
      <c r="FB21" s="274"/>
      <c r="FC21" s="274"/>
      <c r="FD21" s="274"/>
      <c r="FE21" s="274"/>
      <c r="FF21" s="274"/>
      <c r="FG21" s="274"/>
      <c r="FH21" s="274"/>
      <c r="FI21" s="274"/>
      <c r="FJ21" s="274"/>
      <c r="FK21" s="274"/>
      <c r="FL21" s="274"/>
      <c r="FM21" s="274"/>
      <c r="FN21" s="274"/>
      <c r="FO21" s="274"/>
      <c r="FP21" s="274"/>
      <c r="FQ21" s="274"/>
      <c r="FR21" s="274"/>
      <c r="FS21" s="274"/>
      <c r="FT21" s="274"/>
      <c r="FU21" s="274"/>
      <c r="FV21" s="274"/>
      <c r="FW21" s="274"/>
      <c r="FX21" s="274"/>
      <c r="FY21" s="274"/>
      <c r="FZ21" s="274"/>
      <c r="GA21" s="274"/>
      <c r="GB21" s="274"/>
      <c r="GC21" s="274"/>
      <c r="GD21" s="274"/>
      <c r="GE21" s="274"/>
      <c r="GF21" s="274"/>
      <c r="GG21" s="274"/>
      <c r="GH21" s="274"/>
      <c r="GI21" s="274"/>
      <c r="GJ21" s="274"/>
      <c r="GK21" s="274"/>
      <c r="GL21" s="274"/>
      <c r="GM21" s="274"/>
      <c r="GN21" s="274"/>
      <c r="GO21" s="274"/>
      <c r="GP21" s="274"/>
      <c r="GQ21" s="274"/>
      <c r="GR21" s="274"/>
      <c r="GS21" s="274"/>
      <c r="GT21" s="274"/>
      <c r="GU21" s="274"/>
      <c r="GV21" s="274"/>
      <c r="GW21" s="274"/>
      <c r="GX21" s="274"/>
      <c r="GY21" s="274"/>
      <c r="GZ21" s="274"/>
      <c r="HA21" s="274"/>
      <c r="HB21" s="274"/>
      <c r="HC21" s="274"/>
      <c r="HD21" s="274"/>
      <c r="HE21" s="274"/>
      <c r="HF21" s="274"/>
      <c r="HG21" s="274"/>
      <c r="HH21" s="274"/>
      <c r="HI21" s="274"/>
      <c r="HJ21" s="274"/>
    </row>
    <row r="22" spans="1:218" ht="20.45" customHeight="1">
      <c r="A22" s="87"/>
      <c r="B22" s="272"/>
      <c r="C22" s="65" t="s">
        <v>28</v>
      </c>
      <c r="D22" s="33"/>
      <c r="E22" s="33"/>
      <c r="F22" s="33"/>
      <c r="G22" s="33"/>
      <c r="H22" s="33"/>
      <c r="I22" s="33"/>
      <c r="J22" s="287" t="s">
        <v>24</v>
      </c>
      <c r="K22" s="284"/>
      <c r="L22" s="63"/>
      <c r="M22" s="87"/>
      <c r="N22" s="339"/>
      <c r="O22" s="340"/>
      <c r="P22" s="340"/>
      <c r="Q22" s="327"/>
      <c r="R22" s="327"/>
      <c r="S22" s="327"/>
      <c r="T22" s="327"/>
      <c r="U22" s="315"/>
      <c r="V22" s="315"/>
      <c r="W22" s="315"/>
      <c r="X22" s="315"/>
      <c r="Y22" s="315"/>
      <c r="Z22" s="274"/>
      <c r="AA22" s="274"/>
      <c r="AB22" s="274"/>
      <c r="AC22" s="274"/>
      <c r="AD22" s="274"/>
      <c r="AE22" s="274"/>
      <c r="AF22" s="274"/>
      <c r="AG22" s="274"/>
      <c r="AH22" s="274"/>
      <c r="AI22" s="274"/>
      <c r="AJ22" s="274"/>
      <c r="AK22" s="274"/>
      <c r="AL22" s="274"/>
      <c r="AM22" s="274"/>
      <c r="AN22" s="274"/>
      <c r="AO22" s="274"/>
      <c r="AP22" s="274"/>
      <c r="AQ22" s="274"/>
      <c r="AR22" s="274"/>
      <c r="AS22" s="274"/>
      <c r="AT22" s="274"/>
      <c r="AU22" s="274"/>
      <c r="AV22" s="274"/>
      <c r="AW22" s="274"/>
      <c r="AX22" s="274"/>
      <c r="AY22" s="274"/>
      <c r="AZ22" s="274"/>
      <c r="BA22" s="274"/>
      <c r="BB22" s="274"/>
      <c r="BC22" s="274"/>
      <c r="BD22" s="274"/>
      <c r="BE22" s="274"/>
      <c r="BF22" s="274"/>
      <c r="BG22" s="274"/>
      <c r="BH22" s="274"/>
      <c r="BI22" s="274"/>
      <c r="BJ22" s="274"/>
      <c r="BK22" s="274"/>
      <c r="BL22" s="274"/>
      <c r="BM22" s="274"/>
      <c r="BN22" s="274"/>
      <c r="BO22" s="274"/>
      <c r="BP22" s="274"/>
      <c r="BQ22" s="274"/>
      <c r="BR22" s="274"/>
      <c r="BS22" s="274"/>
      <c r="BT22" s="274"/>
      <c r="BU22" s="274"/>
      <c r="BV22" s="274"/>
      <c r="BW22" s="274"/>
      <c r="BX22" s="274"/>
      <c r="BY22" s="274"/>
      <c r="BZ22" s="274"/>
      <c r="CA22" s="274"/>
      <c r="CB22" s="274"/>
      <c r="CC22" s="274"/>
      <c r="CD22" s="274"/>
      <c r="CE22" s="274"/>
      <c r="CF22" s="274"/>
      <c r="CG22" s="274"/>
      <c r="CH22" s="274"/>
      <c r="CI22" s="274"/>
      <c r="CJ22" s="274"/>
      <c r="CK22" s="274"/>
      <c r="CL22" s="274"/>
      <c r="CM22" s="274"/>
      <c r="CN22" s="274"/>
      <c r="CO22" s="274"/>
      <c r="CP22" s="274"/>
      <c r="CQ22" s="274"/>
      <c r="CR22" s="274"/>
      <c r="CS22" s="274"/>
      <c r="CT22" s="274"/>
      <c r="CU22" s="274"/>
      <c r="CV22" s="274"/>
      <c r="CW22" s="274"/>
      <c r="CX22" s="274"/>
      <c r="CY22" s="274"/>
      <c r="CZ22" s="274"/>
      <c r="DA22" s="274"/>
      <c r="DB22" s="274"/>
      <c r="DC22" s="274"/>
      <c r="DD22" s="274"/>
      <c r="DE22" s="274"/>
      <c r="DF22" s="274"/>
      <c r="DG22" s="274"/>
      <c r="DH22" s="274"/>
      <c r="DI22" s="274"/>
      <c r="DJ22" s="274"/>
      <c r="DK22" s="274"/>
      <c r="DL22" s="274"/>
      <c r="DM22" s="274"/>
      <c r="DN22" s="274"/>
      <c r="DO22" s="274"/>
      <c r="DP22" s="274"/>
      <c r="DQ22" s="274"/>
      <c r="DR22" s="274"/>
      <c r="DS22" s="274"/>
      <c r="DT22" s="274"/>
      <c r="DU22" s="274"/>
      <c r="DV22" s="274"/>
      <c r="DW22" s="274"/>
      <c r="DX22" s="274"/>
      <c r="DY22" s="274"/>
      <c r="DZ22" s="274"/>
      <c r="EA22" s="274"/>
      <c r="EB22" s="274"/>
      <c r="EC22" s="274"/>
      <c r="ED22" s="274"/>
      <c r="EE22" s="274"/>
      <c r="EF22" s="274"/>
      <c r="EG22" s="274"/>
      <c r="EH22" s="274"/>
      <c r="EI22" s="274"/>
      <c r="EJ22" s="274"/>
      <c r="EK22" s="274"/>
      <c r="EL22" s="274"/>
      <c r="EM22" s="274"/>
      <c r="EN22" s="274"/>
      <c r="EO22" s="274"/>
      <c r="EP22" s="274"/>
      <c r="EQ22" s="274"/>
      <c r="ER22" s="274"/>
      <c r="ES22" s="274"/>
      <c r="ET22" s="274"/>
      <c r="EU22" s="274"/>
      <c r="EV22" s="274"/>
      <c r="EW22" s="274"/>
      <c r="EX22" s="274"/>
      <c r="EY22" s="274"/>
      <c r="EZ22" s="274"/>
      <c r="FA22" s="274"/>
      <c r="FB22" s="274"/>
      <c r="FC22" s="274"/>
      <c r="FD22" s="274"/>
      <c r="FE22" s="274"/>
      <c r="FF22" s="274"/>
      <c r="FG22" s="274"/>
      <c r="FH22" s="274"/>
      <c r="FI22" s="274"/>
      <c r="FJ22" s="274"/>
      <c r="FK22" s="274"/>
      <c r="FL22" s="274"/>
      <c r="FM22" s="274"/>
      <c r="FN22" s="274"/>
      <c r="FO22" s="274"/>
      <c r="FP22" s="274"/>
      <c r="FQ22" s="274"/>
      <c r="FR22" s="274"/>
      <c r="FS22" s="274"/>
      <c r="FT22" s="274"/>
      <c r="FU22" s="274"/>
      <c r="FV22" s="274"/>
      <c r="FW22" s="274"/>
      <c r="FX22" s="274"/>
      <c r="FY22" s="274"/>
      <c r="FZ22" s="274"/>
      <c r="GA22" s="274"/>
      <c r="GB22" s="274"/>
      <c r="GC22" s="274"/>
      <c r="GD22" s="274"/>
      <c r="GE22" s="274"/>
      <c r="GF22" s="274"/>
      <c r="GG22" s="274"/>
      <c r="GH22" s="274"/>
      <c r="GI22" s="274"/>
      <c r="GJ22" s="274"/>
      <c r="GK22" s="274"/>
      <c r="GL22" s="274"/>
      <c r="GM22" s="274"/>
      <c r="GN22" s="274"/>
      <c r="GO22" s="274"/>
      <c r="GP22" s="274"/>
      <c r="GQ22" s="274"/>
      <c r="GR22" s="274"/>
      <c r="GS22" s="274"/>
      <c r="GT22" s="274"/>
      <c r="GU22" s="274"/>
      <c r="GV22" s="274"/>
      <c r="GW22" s="274"/>
      <c r="GX22" s="274"/>
      <c r="GY22" s="274"/>
      <c r="GZ22" s="274"/>
      <c r="HA22" s="274"/>
      <c r="HB22" s="274"/>
      <c r="HC22" s="274"/>
      <c r="HD22" s="274"/>
      <c r="HE22" s="274"/>
      <c r="HF22" s="274"/>
      <c r="HG22" s="274"/>
      <c r="HH22" s="274"/>
      <c r="HI22" s="274"/>
      <c r="HJ22" s="274"/>
    </row>
    <row r="23" spans="1:218" ht="19.5" customHeight="1">
      <c r="A23" s="87"/>
      <c r="B23" s="272"/>
      <c r="C23" s="496"/>
      <c r="D23" s="496"/>
      <c r="E23" s="496"/>
      <c r="F23" s="496"/>
      <c r="G23" s="496"/>
      <c r="H23" s="496"/>
      <c r="I23" s="496"/>
      <c r="J23" s="287"/>
      <c r="K23" s="284"/>
      <c r="L23" s="63"/>
      <c r="M23" s="87"/>
      <c r="N23" s="319"/>
      <c r="O23" s="315"/>
      <c r="P23" s="315"/>
      <c r="Q23" s="317"/>
      <c r="R23" s="317"/>
      <c r="S23" s="317"/>
      <c r="T23" s="317"/>
      <c r="U23" s="315"/>
      <c r="V23" s="315"/>
      <c r="W23" s="315"/>
      <c r="X23" s="315"/>
      <c r="Y23" s="315"/>
      <c r="Z23" s="274"/>
      <c r="AA23" s="274"/>
      <c r="AB23" s="274"/>
      <c r="AC23" s="274"/>
      <c r="AD23" s="274"/>
      <c r="AE23" s="274"/>
      <c r="AF23" s="274"/>
      <c r="AG23" s="274"/>
      <c r="AH23" s="274"/>
      <c r="AI23" s="274"/>
      <c r="AJ23" s="274"/>
      <c r="AK23" s="274"/>
      <c r="AL23" s="274"/>
      <c r="AM23" s="274"/>
      <c r="AN23" s="274"/>
      <c r="AO23" s="274"/>
      <c r="AP23" s="274"/>
      <c r="AQ23" s="274"/>
      <c r="AR23" s="274"/>
      <c r="AS23" s="274"/>
      <c r="AT23" s="274"/>
      <c r="AU23" s="274"/>
      <c r="AV23" s="274"/>
      <c r="AW23" s="274"/>
      <c r="AX23" s="274"/>
      <c r="AY23" s="274"/>
      <c r="AZ23" s="274"/>
      <c r="BA23" s="274"/>
      <c r="BB23" s="274"/>
      <c r="BC23" s="274"/>
      <c r="BD23" s="274"/>
      <c r="BE23" s="274"/>
      <c r="BF23" s="274"/>
      <c r="BG23" s="274"/>
      <c r="BH23" s="274"/>
      <c r="BI23" s="274"/>
      <c r="BJ23" s="274"/>
      <c r="BK23" s="274"/>
      <c r="BL23" s="274"/>
      <c r="BM23" s="274"/>
      <c r="BN23" s="274"/>
      <c r="BO23" s="274"/>
      <c r="BP23" s="274"/>
      <c r="BQ23" s="274"/>
      <c r="BR23" s="274"/>
      <c r="BS23" s="274"/>
      <c r="BT23" s="274"/>
      <c r="BU23" s="274"/>
      <c r="BV23" s="274"/>
      <c r="BW23" s="274"/>
      <c r="BX23" s="274"/>
      <c r="BY23" s="274"/>
      <c r="BZ23" s="274"/>
      <c r="CA23" s="274"/>
      <c r="CB23" s="274"/>
      <c r="CC23" s="274"/>
      <c r="CD23" s="274"/>
      <c r="CE23" s="274"/>
      <c r="CF23" s="274"/>
      <c r="CG23" s="274"/>
      <c r="CH23" s="274"/>
      <c r="CI23" s="274"/>
      <c r="CJ23" s="274"/>
      <c r="CK23" s="274"/>
      <c r="CL23" s="274"/>
      <c r="CM23" s="274"/>
      <c r="CN23" s="274"/>
      <c r="CO23" s="274"/>
      <c r="CP23" s="274"/>
      <c r="CQ23" s="274"/>
      <c r="CR23" s="274"/>
      <c r="CS23" s="274"/>
      <c r="CT23" s="274"/>
      <c r="CU23" s="274"/>
      <c r="CV23" s="274"/>
      <c r="CW23" s="274"/>
      <c r="CX23" s="274"/>
      <c r="CY23" s="274"/>
      <c r="CZ23" s="274"/>
      <c r="DA23" s="274"/>
      <c r="DB23" s="274"/>
      <c r="DC23" s="274"/>
      <c r="DD23" s="274"/>
      <c r="DE23" s="274"/>
      <c r="DF23" s="274"/>
      <c r="DG23" s="274"/>
      <c r="DH23" s="274"/>
      <c r="DI23" s="274"/>
      <c r="DJ23" s="274"/>
      <c r="DK23" s="274"/>
      <c r="DL23" s="274"/>
      <c r="DM23" s="274"/>
      <c r="DN23" s="274"/>
      <c r="DO23" s="274"/>
      <c r="DP23" s="274"/>
      <c r="DQ23" s="274"/>
      <c r="DR23" s="274"/>
      <c r="DS23" s="274"/>
      <c r="DT23" s="274"/>
      <c r="DU23" s="274"/>
      <c r="DV23" s="274"/>
      <c r="DW23" s="274"/>
      <c r="DX23" s="274"/>
      <c r="DY23" s="274"/>
      <c r="DZ23" s="274"/>
      <c r="EA23" s="274"/>
      <c r="EB23" s="274"/>
      <c r="EC23" s="274"/>
      <c r="ED23" s="274"/>
      <c r="EE23" s="274"/>
      <c r="EF23" s="274"/>
      <c r="EG23" s="274"/>
      <c r="EH23" s="274"/>
      <c r="EI23" s="274"/>
      <c r="EJ23" s="274"/>
      <c r="EK23" s="274"/>
      <c r="EL23" s="274"/>
      <c r="EM23" s="274"/>
      <c r="EN23" s="274"/>
      <c r="EO23" s="274"/>
      <c r="EP23" s="274"/>
      <c r="EQ23" s="274"/>
      <c r="ER23" s="274"/>
      <c r="ES23" s="274"/>
      <c r="ET23" s="274"/>
      <c r="EU23" s="274"/>
      <c r="EV23" s="274"/>
      <c r="EW23" s="274"/>
      <c r="EX23" s="274"/>
      <c r="EY23" s="274"/>
      <c r="EZ23" s="274"/>
      <c r="FA23" s="274"/>
      <c r="FB23" s="274"/>
      <c r="FC23" s="274"/>
      <c r="FD23" s="274"/>
      <c r="FE23" s="274"/>
      <c r="FF23" s="274"/>
      <c r="FG23" s="274"/>
      <c r="FH23" s="274"/>
      <c r="FI23" s="274"/>
      <c r="FJ23" s="274"/>
      <c r="FK23" s="274"/>
      <c r="FL23" s="274"/>
      <c r="FM23" s="274"/>
      <c r="FN23" s="274"/>
      <c r="FO23" s="274"/>
      <c r="FP23" s="274"/>
      <c r="FQ23" s="274"/>
      <c r="FR23" s="274"/>
      <c r="FS23" s="274"/>
      <c r="FT23" s="274"/>
      <c r="FU23" s="274"/>
      <c r="FV23" s="274"/>
      <c r="FW23" s="274"/>
      <c r="FX23" s="274"/>
      <c r="FY23" s="274"/>
      <c r="FZ23" s="274"/>
      <c r="GA23" s="274"/>
      <c r="GB23" s="274"/>
      <c r="GC23" s="274"/>
      <c r="GD23" s="274"/>
      <c r="GE23" s="274"/>
      <c r="GF23" s="274"/>
      <c r="GG23" s="274"/>
      <c r="GH23" s="274"/>
      <c r="GI23" s="274"/>
      <c r="GJ23" s="274"/>
      <c r="GK23" s="274"/>
      <c r="GL23" s="274"/>
      <c r="GM23" s="274"/>
      <c r="GN23" s="274"/>
      <c r="GO23" s="274"/>
      <c r="GP23" s="274"/>
      <c r="GQ23" s="274"/>
      <c r="GR23" s="274"/>
      <c r="GS23" s="274"/>
      <c r="GT23" s="274"/>
      <c r="GU23" s="274"/>
      <c r="GV23" s="274"/>
      <c r="GW23" s="274"/>
      <c r="GX23" s="274"/>
      <c r="GY23" s="274"/>
      <c r="GZ23" s="274"/>
      <c r="HA23" s="274"/>
      <c r="HB23" s="274"/>
      <c r="HC23" s="274"/>
      <c r="HD23" s="274"/>
      <c r="HE23" s="274"/>
      <c r="HF23" s="274"/>
      <c r="HG23" s="274"/>
      <c r="HH23" s="274"/>
      <c r="HI23" s="274"/>
      <c r="HJ23" s="274"/>
    </row>
    <row r="24" spans="1:218" ht="12.75">
      <c r="A24" s="87"/>
      <c r="B24" s="272"/>
      <c r="C24" s="496"/>
      <c r="D24" s="496"/>
      <c r="E24" s="496"/>
      <c r="F24" s="496"/>
      <c r="G24" s="496"/>
      <c r="H24" s="496"/>
      <c r="I24" s="496"/>
      <c r="J24" s="287"/>
      <c r="K24" s="284"/>
      <c r="L24" s="63"/>
      <c r="M24" s="87"/>
      <c r="N24" s="328"/>
      <c r="O24" s="315"/>
      <c r="P24" s="315"/>
      <c r="Q24" s="315"/>
      <c r="R24" s="327"/>
      <c r="S24" s="315"/>
      <c r="T24" s="315"/>
      <c r="U24" s="315"/>
      <c r="V24" s="315"/>
      <c r="W24" s="315"/>
      <c r="X24" s="315"/>
      <c r="Y24" s="315"/>
      <c r="Z24" s="274"/>
      <c r="AA24" s="274"/>
      <c r="AB24" s="274"/>
      <c r="AC24" s="274"/>
      <c r="AD24" s="274"/>
      <c r="AE24" s="274"/>
      <c r="AF24" s="274"/>
      <c r="AG24" s="274"/>
      <c r="AH24" s="274"/>
      <c r="AI24" s="274"/>
      <c r="AJ24" s="274"/>
      <c r="AK24" s="274"/>
      <c r="AL24" s="274"/>
      <c r="AM24" s="274"/>
      <c r="AN24" s="274"/>
      <c r="AO24" s="274"/>
      <c r="AP24" s="274"/>
      <c r="AQ24" s="274"/>
      <c r="AR24" s="274"/>
      <c r="AS24" s="274"/>
      <c r="AT24" s="274"/>
      <c r="AU24" s="274"/>
      <c r="AV24" s="274"/>
      <c r="AW24" s="274"/>
      <c r="AX24" s="274"/>
      <c r="AY24" s="274"/>
      <c r="AZ24" s="274"/>
      <c r="BA24" s="274"/>
      <c r="BB24" s="274"/>
      <c r="BC24" s="274"/>
      <c r="BD24" s="274"/>
      <c r="BE24" s="274"/>
      <c r="BF24" s="274"/>
      <c r="BG24" s="274"/>
      <c r="BH24" s="274"/>
      <c r="BI24" s="274"/>
      <c r="BJ24" s="274"/>
      <c r="BK24" s="274"/>
      <c r="BL24" s="274"/>
      <c r="BM24" s="274"/>
      <c r="BN24" s="274"/>
      <c r="BO24" s="274"/>
      <c r="BP24" s="274"/>
      <c r="BQ24" s="274"/>
      <c r="BR24" s="274"/>
      <c r="BS24" s="274"/>
      <c r="BT24" s="274"/>
      <c r="BU24" s="274"/>
      <c r="BV24" s="274"/>
      <c r="BW24" s="274"/>
      <c r="BX24" s="274"/>
      <c r="BY24" s="274"/>
      <c r="BZ24" s="274"/>
      <c r="CA24" s="274"/>
      <c r="CB24" s="274"/>
      <c r="CC24" s="274"/>
      <c r="CD24" s="274"/>
      <c r="CE24" s="274"/>
      <c r="CF24" s="274"/>
      <c r="CG24" s="274"/>
      <c r="CH24" s="274"/>
      <c r="CI24" s="274"/>
      <c r="CJ24" s="274"/>
      <c r="CK24" s="274"/>
      <c r="CL24" s="274"/>
      <c r="CM24" s="274"/>
      <c r="CN24" s="274"/>
      <c r="CO24" s="274"/>
      <c r="CP24" s="274"/>
      <c r="CQ24" s="274"/>
      <c r="CR24" s="274"/>
      <c r="CS24" s="274"/>
      <c r="CT24" s="274"/>
      <c r="CU24" s="274"/>
      <c r="CV24" s="274"/>
      <c r="CW24" s="274"/>
      <c r="CX24" s="274"/>
      <c r="CY24" s="274"/>
      <c r="CZ24" s="274"/>
      <c r="DA24" s="274"/>
      <c r="DB24" s="274"/>
      <c r="DC24" s="274"/>
      <c r="DD24" s="274"/>
      <c r="DE24" s="274"/>
      <c r="DF24" s="274"/>
      <c r="DG24" s="274"/>
      <c r="DH24" s="274"/>
      <c r="DI24" s="274"/>
      <c r="DJ24" s="274"/>
      <c r="DK24" s="274"/>
      <c r="DL24" s="274"/>
      <c r="DM24" s="274"/>
      <c r="DN24" s="274"/>
      <c r="DO24" s="274"/>
      <c r="DP24" s="274"/>
      <c r="DQ24" s="274"/>
      <c r="DR24" s="274"/>
      <c r="DS24" s="274"/>
      <c r="DT24" s="274"/>
      <c r="DU24" s="274"/>
      <c r="DV24" s="274"/>
      <c r="DW24" s="274"/>
      <c r="DX24" s="274"/>
      <c r="DY24" s="274"/>
      <c r="DZ24" s="274"/>
      <c r="EA24" s="274"/>
      <c r="EB24" s="274"/>
      <c r="EC24" s="274"/>
      <c r="ED24" s="274"/>
      <c r="EE24" s="274"/>
      <c r="EF24" s="274"/>
      <c r="EG24" s="274"/>
      <c r="EH24" s="274"/>
      <c r="EI24" s="274"/>
      <c r="EJ24" s="274"/>
      <c r="EK24" s="274"/>
      <c r="EL24" s="274"/>
      <c r="EM24" s="274"/>
      <c r="EN24" s="274"/>
      <c r="EO24" s="274"/>
      <c r="EP24" s="274"/>
      <c r="EQ24" s="274"/>
      <c r="ER24" s="274"/>
      <c r="ES24" s="274"/>
      <c r="ET24" s="274"/>
      <c r="EU24" s="274"/>
      <c r="EV24" s="274"/>
      <c r="EW24" s="274"/>
      <c r="EX24" s="274"/>
      <c r="EY24" s="274"/>
      <c r="EZ24" s="274"/>
      <c r="FA24" s="274"/>
      <c r="FB24" s="274"/>
      <c r="FC24" s="274"/>
      <c r="FD24" s="274"/>
      <c r="FE24" s="274"/>
      <c r="FF24" s="274"/>
      <c r="FG24" s="274"/>
      <c r="FH24" s="274"/>
      <c r="FI24" s="274"/>
      <c r="FJ24" s="274"/>
      <c r="FK24" s="274"/>
      <c r="FL24" s="274"/>
      <c r="FM24" s="274"/>
      <c r="FN24" s="274"/>
      <c r="FO24" s="274"/>
      <c r="FP24" s="274"/>
      <c r="FQ24" s="274"/>
      <c r="FR24" s="274"/>
      <c r="FS24" s="274"/>
      <c r="FT24" s="274"/>
      <c r="FU24" s="274"/>
      <c r="FV24" s="274"/>
      <c r="FW24" s="274"/>
      <c r="FX24" s="274"/>
      <c r="FY24" s="274"/>
      <c r="FZ24" s="274"/>
      <c r="GA24" s="274"/>
      <c r="GB24" s="274"/>
      <c r="GC24" s="274"/>
      <c r="GD24" s="274"/>
      <c r="GE24" s="274"/>
      <c r="GF24" s="274"/>
      <c r="GG24" s="274"/>
      <c r="GH24" s="274"/>
      <c r="GI24" s="274"/>
      <c r="GJ24" s="274"/>
      <c r="GK24" s="274"/>
      <c r="GL24" s="274"/>
      <c r="GM24" s="274"/>
      <c r="GN24" s="274"/>
      <c r="GO24" s="274"/>
      <c r="GP24" s="274"/>
      <c r="GQ24" s="274"/>
      <c r="GR24" s="274"/>
      <c r="GS24" s="274"/>
      <c r="GT24" s="274"/>
      <c r="GU24" s="274"/>
      <c r="GV24" s="274"/>
      <c r="GW24" s="274"/>
      <c r="GX24" s="274"/>
      <c r="GY24" s="274"/>
      <c r="GZ24" s="274"/>
      <c r="HA24" s="274"/>
      <c r="HB24" s="274"/>
      <c r="HC24" s="274"/>
      <c r="HD24" s="274"/>
      <c r="HE24" s="274"/>
      <c r="HF24" s="274"/>
      <c r="HG24" s="274"/>
      <c r="HH24" s="274"/>
      <c r="HI24" s="274"/>
      <c r="HJ24" s="274"/>
    </row>
    <row r="25" spans="1:218" ht="12.75">
      <c r="A25" s="87"/>
      <c r="B25" s="272"/>
      <c r="C25" s="33"/>
      <c r="D25" s="33"/>
      <c r="E25" s="33"/>
      <c r="F25" s="33"/>
      <c r="G25" s="33"/>
      <c r="H25" s="33"/>
      <c r="I25" s="33"/>
      <c r="J25" s="62"/>
      <c r="K25" s="63"/>
      <c r="L25" s="63"/>
      <c r="M25" s="87"/>
      <c r="N25" s="319"/>
      <c r="O25" s="315"/>
      <c r="P25" s="315"/>
      <c r="Q25" s="315"/>
      <c r="R25" s="329"/>
      <c r="S25" s="315"/>
      <c r="T25" s="315"/>
      <c r="U25" s="315"/>
      <c r="V25" s="315"/>
      <c r="W25" s="315"/>
      <c r="X25" s="315"/>
      <c r="Y25" s="315"/>
      <c r="Z25" s="274"/>
      <c r="AA25" s="274"/>
      <c r="AB25" s="274"/>
      <c r="AC25" s="274"/>
      <c r="AD25" s="274"/>
      <c r="AE25" s="274"/>
      <c r="AF25" s="274"/>
      <c r="AG25" s="274"/>
      <c r="AH25" s="274"/>
      <c r="AI25" s="274"/>
      <c r="AJ25" s="274"/>
      <c r="AK25" s="274"/>
      <c r="AL25" s="274"/>
      <c r="AM25" s="274"/>
      <c r="AN25" s="274"/>
      <c r="AO25" s="274"/>
      <c r="AP25" s="274"/>
      <c r="AQ25" s="274"/>
      <c r="AR25" s="274"/>
      <c r="AS25" s="274"/>
      <c r="AT25" s="274"/>
      <c r="AU25" s="274"/>
      <c r="AV25" s="274"/>
      <c r="AW25" s="274"/>
      <c r="AX25" s="274"/>
      <c r="AY25" s="274"/>
      <c r="AZ25" s="274"/>
      <c r="BA25" s="274"/>
      <c r="BB25" s="274"/>
      <c r="BC25" s="274"/>
      <c r="BD25" s="274"/>
      <c r="BE25" s="274"/>
      <c r="BF25" s="274"/>
      <c r="BG25" s="274"/>
      <c r="BH25" s="274"/>
      <c r="BI25" s="274"/>
      <c r="BJ25" s="274"/>
      <c r="BK25" s="274"/>
      <c r="BL25" s="274"/>
      <c r="BM25" s="274"/>
      <c r="BN25" s="274"/>
      <c r="BO25" s="274"/>
      <c r="BP25" s="274"/>
      <c r="BQ25" s="274"/>
      <c r="BR25" s="274"/>
      <c r="BS25" s="274"/>
      <c r="BT25" s="274"/>
      <c r="BU25" s="274"/>
      <c r="BV25" s="274"/>
      <c r="BW25" s="274"/>
      <c r="BX25" s="274"/>
      <c r="BY25" s="274"/>
      <c r="BZ25" s="274"/>
      <c r="CA25" s="274"/>
      <c r="CB25" s="274"/>
      <c r="CC25" s="274"/>
      <c r="CD25" s="274"/>
      <c r="CE25" s="274"/>
      <c r="CF25" s="274"/>
      <c r="CG25" s="274"/>
      <c r="CH25" s="274"/>
      <c r="CI25" s="274"/>
      <c r="CJ25" s="274"/>
      <c r="CK25" s="274"/>
      <c r="CL25" s="274"/>
      <c r="CM25" s="274"/>
      <c r="CN25" s="274"/>
      <c r="CO25" s="274"/>
      <c r="CP25" s="274"/>
      <c r="CQ25" s="274"/>
      <c r="CR25" s="274"/>
      <c r="CS25" s="274"/>
      <c r="CT25" s="274"/>
      <c r="CU25" s="274"/>
      <c r="CV25" s="274"/>
      <c r="CW25" s="274"/>
      <c r="CX25" s="274"/>
      <c r="CY25" s="274"/>
      <c r="CZ25" s="274"/>
      <c r="DA25" s="274"/>
      <c r="DB25" s="274"/>
      <c r="DC25" s="274"/>
      <c r="DD25" s="274"/>
      <c r="DE25" s="274"/>
      <c r="DF25" s="274"/>
      <c r="DG25" s="274"/>
      <c r="DH25" s="274"/>
      <c r="DI25" s="274"/>
      <c r="DJ25" s="274"/>
      <c r="DK25" s="274"/>
      <c r="DL25" s="274"/>
      <c r="DM25" s="274"/>
      <c r="DN25" s="274"/>
      <c r="DO25" s="274"/>
      <c r="DP25" s="274"/>
      <c r="DQ25" s="274"/>
      <c r="DR25" s="274"/>
      <c r="DS25" s="274"/>
      <c r="DT25" s="274"/>
      <c r="DU25" s="274"/>
      <c r="DV25" s="274"/>
      <c r="DW25" s="274"/>
      <c r="DX25" s="274"/>
      <c r="DY25" s="274"/>
      <c r="DZ25" s="274"/>
      <c r="EA25" s="274"/>
      <c r="EB25" s="274"/>
      <c r="EC25" s="274"/>
      <c r="ED25" s="274"/>
      <c r="EE25" s="274"/>
      <c r="EF25" s="274"/>
      <c r="EG25" s="274"/>
      <c r="EH25" s="274"/>
      <c r="EI25" s="274"/>
      <c r="EJ25" s="274"/>
      <c r="EK25" s="274"/>
      <c r="EL25" s="274"/>
      <c r="EM25" s="274"/>
      <c r="EN25" s="274"/>
      <c r="EO25" s="274"/>
      <c r="EP25" s="274"/>
      <c r="EQ25" s="274"/>
      <c r="ER25" s="274"/>
      <c r="ES25" s="274"/>
      <c r="ET25" s="274"/>
      <c r="EU25" s="274"/>
      <c r="EV25" s="274"/>
      <c r="EW25" s="274"/>
      <c r="EX25" s="274"/>
      <c r="EY25" s="274"/>
      <c r="EZ25" s="274"/>
      <c r="FA25" s="274"/>
      <c r="FB25" s="274"/>
      <c r="FC25" s="274"/>
      <c r="FD25" s="274"/>
      <c r="FE25" s="274"/>
      <c r="FF25" s="274"/>
      <c r="FG25" s="274"/>
      <c r="FH25" s="274"/>
      <c r="FI25" s="274"/>
      <c r="FJ25" s="274"/>
      <c r="FK25" s="274"/>
      <c r="FL25" s="274"/>
      <c r="FM25" s="274"/>
      <c r="FN25" s="274"/>
      <c r="FO25" s="274"/>
      <c r="FP25" s="274"/>
      <c r="FQ25" s="274"/>
      <c r="FR25" s="274"/>
      <c r="FS25" s="274"/>
      <c r="FT25" s="274"/>
      <c r="FU25" s="274"/>
      <c r="FV25" s="274"/>
      <c r="FW25" s="274"/>
      <c r="FX25" s="274"/>
      <c r="FY25" s="274"/>
      <c r="FZ25" s="274"/>
      <c r="GA25" s="274"/>
      <c r="GB25" s="274"/>
      <c r="GC25" s="274"/>
      <c r="GD25" s="274"/>
      <c r="GE25" s="274"/>
      <c r="GF25" s="274"/>
      <c r="GG25" s="274"/>
      <c r="GH25" s="274"/>
      <c r="GI25" s="274"/>
      <c r="GJ25" s="274"/>
      <c r="GK25" s="274"/>
      <c r="GL25" s="274"/>
      <c r="GM25" s="274"/>
      <c r="GN25" s="274"/>
      <c r="GO25" s="274"/>
      <c r="GP25" s="274"/>
      <c r="GQ25" s="274"/>
      <c r="GR25" s="274"/>
      <c r="GS25" s="274"/>
      <c r="GT25" s="274"/>
      <c r="GU25" s="274"/>
      <c r="GV25" s="274"/>
      <c r="GW25" s="274"/>
      <c r="GX25" s="274"/>
      <c r="GY25" s="274"/>
      <c r="GZ25" s="274"/>
      <c r="HA25" s="274"/>
      <c r="HB25" s="274"/>
      <c r="HC25" s="274"/>
      <c r="HD25" s="274"/>
      <c r="HE25" s="274"/>
      <c r="HF25" s="274"/>
      <c r="HG25" s="274"/>
      <c r="HH25" s="274"/>
      <c r="HI25" s="274"/>
      <c r="HJ25" s="274"/>
    </row>
    <row r="26" spans="1:218" ht="12.75">
      <c r="A26" s="87"/>
      <c r="B26" s="279" t="s">
        <v>211</v>
      </c>
      <c r="C26" s="33"/>
      <c r="D26" s="33"/>
      <c r="E26" s="33"/>
      <c r="F26" s="33"/>
      <c r="G26" s="33"/>
      <c r="H26" s="33"/>
      <c r="I26" s="33"/>
      <c r="J26" s="62"/>
      <c r="K26" s="63"/>
      <c r="L26" s="63"/>
      <c r="M26" s="87"/>
      <c r="N26" s="319"/>
      <c r="O26" s="315"/>
      <c r="P26" s="315"/>
      <c r="Q26" s="315"/>
      <c r="R26" s="327"/>
      <c r="S26" s="315"/>
      <c r="T26" s="315"/>
      <c r="U26" s="315"/>
      <c r="V26" s="315"/>
      <c r="W26" s="315"/>
      <c r="X26" s="315"/>
      <c r="Y26" s="315"/>
      <c r="Z26" s="274"/>
      <c r="AA26" s="274"/>
      <c r="AB26" s="274"/>
      <c r="AC26" s="274"/>
      <c r="AD26" s="274"/>
      <c r="AE26" s="274"/>
      <c r="AF26" s="274"/>
      <c r="AG26" s="274"/>
      <c r="AH26" s="274"/>
      <c r="AI26" s="274"/>
      <c r="AJ26" s="274"/>
      <c r="AK26" s="274"/>
      <c r="AL26" s="274"/>
      <c r="AM26" s="274"/>
      <c r="AN26" s="274"/>
      <c r="AO26" s="274"/>
      <c r="AP26" s="274"/>
      <c r="AQ26" s="274"/>
      <c r="AR26" s="274"/>
      <c r="AS26" s="274"/>
      <c r="AT26" s="274"/>
      <c r="AU26" s="274"/>
      <c r="AV26" s="274"/>
      <c r="AW26" s="274"/>
      <c r="AX26" s="274"/>
      <c r="AY26" s="274"/>
      <c r="AZ26" s="274"/>
      <c r="BA26" s="274"/>
      <c r="BB26" s="274"/>
      <c r="BC26" s="274"/>
      <c r="BD26" s="274"/>
      <c r="BE26" s="274"/>
      <c r="BF26" s="274"/>
      <c r="BG26" s="274"/>
      <c r="BH26" s="274"/>
      <c r="BI26" s="274"/>
      <c r="BJ26" s="274"/>
      <c r="BK26" s="274"/>
      <c r="BL26" s="274"/>
      <c r="BM26" s="274"/>
      <c r="BN26" s="274"/>
      <c r="BO26" s="274"/>
      <c r="BP26" s="274"/>
      <c r="BQ26" s="274"/>
      <c r="BR26" s="274"/>
      <c r="BS26" s="274"/>
      <c r="BT26" s="274"/>
      <c r="BU26" s="274"/>
      <c r="BV26" s="274"/>
      <c r="BW26" s="274"/>
      <c r="BX26" s="274"/>
      <c r="BY26" s="274"/>
      <c r="BZ26" s="274"/>
      <c r="CA26" s="274"/>
      <c r="CB26" s="274"/>
      <c r="CC26" s="274"/>
      <c r="CD26" s="274"/>
      <c r="CE26" s="274"/>
      <c r="CF26" s="274"/>
      <c r="CG26" s="274"/>
      <c r="CH26" s="274"/>
      <c r="CI26" s="274"/>
      <c r="CJ26" s="274"/>
      <c r="CK26" s="274"/>
      <c r="CL26" s="274"/>
      <c r="CM26" s="274"/>
      <c r="CN26" s="274"/>
      <c r="CO26" s="274"/>
      <c r="CP26" s="274"/>
      <c r="CQ26" s="274"/>
      <c r="CR26" s="274"/>
      <c r="CS26" s="274"/>
      <c r="CT26" s="274"/>
      <c r="CU26" s="274"/>
      <c r="CV26" s="274"/>
      <c r="CW26" s="274"/>
      <c r="CX26" s="274"/>
      <c r="CY26" s="274"/>
      <c r="CZ26" s="274"/>
      <c r="DA26" s="274"/>
      <c r="DB26" s="274"/>
      <c r="DC26" s="274"/>
      <c r="DD26" s="274"/>
      <c r="DE26" s="274"/>
      <c r="DF26" s="274"/>
      <c r="DG26" s="274"/>
      <c r="DH26" s="274"/>
      <c r="DI26" s="274"/>
      <c r="DJ26" s="274"/>
      <c r="DK26" s="274"/>
      <c r="DL26" s="274"/>
      <c r="DM26" s="274"/>
      <c r="DN26" s="274"/>
      <c r="DO26" s="274"/>
      <c r="DP26" s="274"/>
      <c r="DQ26" s="274"/>
      <c r="DR26" s="274"/>
      <c r="DS26" s="274"/>
      <c r="DT26" s="274"/>
      <c r="DU26" s="274"/>
      <c r="DV26" s="274"/>
      <c r="DW26" s="274"/>
      <c r="DX26" s="274"/>
      <c r="DY26" s="274"/>
      <c r="DZ26" s="274"/>
      <c r="EA26" s="274"/>
      <c r="EB26" s="274"/>
      <c r="EC26" s="274"/>
      <c r="ED26" s="274"/>
      <c r="EE26" s="274"/>
      <c r="EF26" s="274"/>
      <c r="EG26" s="274"/>
      <c r="EH26" s="274"/>
      <c r="EI26" s="274"/>
      <c r="EJ26" s="274"/>
      <c r="EK26" s="274"/>
      <c r="EL26" s="274"/>
      <c r="EM26" s="274"/>
      <c r="EN26" s="274"/>
      <c r="EO26" s="274"/>
      <c r="EP26" s="274"/>
      <c r="EQ26" s="274"/>
      <c r="ER26" s="274"/>
      <c r="ES26" s="274"/>
      <c r="ET26" s="274"/>
      <c r="EU26" s="274"/>
      <c r="EV26" s="274"/>
      <c r="EW26" s="274"/>
      <c r="EX26" s="274"/>
      <c r="EY26" s="274"/>
      <c r="EZ26" s="274"/>
      <c r="FA26" s="274"/>
      <c r="FB26" s="274"/>
      <c r="FC26" s="274"/>
      <c r="FD26" s="274"/>
      <c r="FE26" s="274"/>
      <c r="FF26" s="274"/>
      <c r="FG26" s="274"/>
      <c r="FH26" s="274"/>
      <c r="FI26" s="274"/>
      <c r="FJ26" s="274"/>
      <c r="FK26" s="274"/>
      <c r="FL26" s="274"/>
      <c r="FM26" s="274"/>
      <c r="FN26" s="274"/>
      <c r="FO26" s="274"/>
      <c r="FP26" s="274"/>
      <c r="FQ26" s="274"/>
      <c r="FR26" s="274"/>
      <c r="FS26" s="274"/>
      <c r="FT26" s="274"/>
      <c r="FU26" s="274"/>
      <c r="FV26" s="274"/>
      <c r="FW26" s="274"/>
      <c r="FX26" s="274"/>
      <c r="FY26" s="274"/>
      <c r="FZ26" s="274"/>
      <c r="GA26" s="274"/>
      <c r="GB26" s="274"/>
      <c r="GC26" s="274"/>
      <c r="GD26" s="274"/>
      <c r="GE26" s="274"/>
      <c r="GF26" s="274"/>
      <c r="GG26" s="274"/>
      <c r="GH26" s="274"/>
      <c r="GI26" s="274"/>
      <c r="GJ26" s="274"/>
      <c r="GK26" s="274"/>
      <c r="GL26" s="274"/>
      <c r="GM26" s="274"/>
      <c r="GN26" s="274"/>
      <c r="GO26" s="274"/>
      <c r="GP26" s="274"/>
      <c r="GQ26" s="274"/>
      <c r="GR26" s="274"/>
      <c r="GS26" s="274"/>
      <c r="GT26" s="274"/>
      <c r="GU26" s="274"/>
      <c r="GV26" s="274"/>
      <c r="GW26" s="274"/>
      <c r="GX26" s="274"/>
      <c r="GY26" s="274"/>
      <c r="GZ26" s="274"/>
      <c r="HA26" s="274"/>
      <c r="HB26" s="274"/>
      <c r="HC26" s="274"/>
      <c r="HD26" s="274"/>
      <c r="HE26" s="274"/>
      <c r="HF26" s="274"/>
      <c r="HG26" s="274"/>
      <c r="HH26" s="274"/>
      <c r="HI26" s="274"/>
      <c r="HJ26" s="274"/>
    </row>
    <row r="27" spans="1:218" ht="12.75">
      <c r="A27" s="87"/>
      <c r="B27" s="153"/>
      <c r="C27" s="33"/>
      <c r="D27" s="33"/>
      <c r="E27" s="33"/>
      <c r="F27" s="33"/>
      <c r="G27" s="33"/>
      <c r="H27" s="33"/>
      <c r="I27" s="33"/>
      <c r="J27" s="62"/>
      <c r="K27" s="63"/>
      <c r="L27" s="63"/>
      <c r="M27" s="87"/>
      <c r="N27" s="319"/>
      <c r="O27" s="315"/>
      <c r="P27" s="315"/>
      <c r="Q27" s="315"/>
      <c r="R27" s="327"/>
      <c r="S27" s="315"/>
      <c r="T27" s="315"/>
      <c r="U27" s="315"/>
      <c r="V27" s="315"/>
      <c r="W27" s="315"/>
      <c r="X27" s="315"/>
      <c r="Y27" s="315"/>
      <c r="Z27" s="274"/>
      <c r="AA27" s="274"/>
      <c r="AB27" s="274"/>
      <c r="AC27" s="274"/>
      <c r="AD27" s="274"/>
      <c r="AE27" s="274"/>
      <c r="AF27" s="274"/>
      <c r="AG27" s="274"/>
      <c r="AH27" s="274"/>
      <c r="AI27" s="274"/>
      <c r="AJ27" s="274"/>
      <c r="AK27" s="274"/>
      <c r="AL27" s="274"/>
      <c r="AM27" s="274"/>
      <c r="AN27" s="274"/>
      <c r="AO27" s="274"/>
      <c r="AP27" s="274"/>
      <c r="AQ27" s="274"/>
      <c r="AR27" s="274"/>
      <c r="AS27" s="274"/>
      <c r="AT27" s="274"/>
      <c r="AU27" s="274"/>
      <c r="AV27" s="274"/>
      <c r="AW27" s="274"/>
      <c r="AX27" s="274"/>
      <c r="AY27" s="274"/>
      <c r="AZ27" s="274"/>
      <c r="BA27" s="274"/>
      <c r="BB27" s="274"/>
      <c r="BC27" s="274"/>
      <c r="BD27" s="274"/>
      <c r="BE27" s="274"/>
      <c r="BF27" s="274"/>
      <c r="BG27" s="274"/>
      <c r="BH27" s="274"/>
      <c r="BI27" s="274"/>
      <c r="BJ27" s="274"/>
      <c r="BK27" s="274"/>
      <c r="BL27" s="274"/>
      <c r="BM27" s="274"/>
      <c r="BN27" s="274"/>
      <c r="BO27" s="274"/>
      <c r="BP27" s="274"/>
      <c r="BQ27" s="274"/>
      <c r="BR27" s="274"/>
      <c r="BS27" s="274"/>
      <c r="BT27" s="274"/>
      <c r="BU27" s="274"/>
      <c r="BV27" s="274"/>
      <c r="BW27" s="274"/>
      <c r="BX27" s="274"/>
      <c r="BY27" s="274"/>
      <c r="BZ27" s="274"/>
      <c r="CA27" s="274"/>
      <c r="CB27" s="274"/>
      <c r="CC27" s="274"/>
      <c r="CD27" s="274"/>
      <c r="CE27" s="274"/>
      <c r="CF27" s="274"/>
      <c r="CG27" s="274"/>
      <c r="CH27" s="274"/>
      <c r="CI27" s="274"/>
      <c r="CJ27" s="274"/>
      <c r="CK27" s="274"/>
      <c r="CL27" s="274"/>
      <c r="CM27" s="274"/>
      <c r="CN27" s="274"/>
      <c r="CO27" s="274"/>
      <c r="CP27" s="274"/>
      <c r="CQ27" s="274"/>
      <c r="CR27" s="274"/>
      <c r="CS27" s="274"/>
      <c r="CT27" s="274"/>
      <c r="CU27" s="274"/>
      <c r="CV27" s="274"/>
      <c r="CW27" s="274"/>
      <c r="CX27" s="274"/>
      <c r="CY27" s="274"/>
      <c r="CZ27" s="274"/>
      <c r="DA27" s="274"/>
      <c r="DB27" s="274"/>
      <c r="DC27" s="274"/>
      <c r="DD27" s="274"/>
      <c r="DE27" s="274"/>
      <c r="DF27" s="274"/>
      <c r="DG27" s="274"/>
      <c r="DH27" s="274"/>
      <c r="DI27" s="274"/>
      <c r="DJ27" s="274"/>
      <c r="DK27" s="274"/>
      <c r="DL27" s="274"/>
      <c r="DM27" s="274"/>
      <c r="DN27" s="274"/>
      <c r="DO27" s="274"/>
      <c r="DP27" s="274"/>
      <c r="DQ27" s="274"/>
      <c r="DR27" s="274"/>
      <c r="DS27" s="274"/>
      <c r="DT27" s="274"/>
      <c r="DU27" s="274"/>
      <c r="DV27" s="274"/>
      <c r="DW27" s="274"/>
      <c r="DX27" s="274"/>
      <c r="DY27" s="274"/>
      <c r="DZ27" s="274"/>
      <c r="EA27" s="274"/>
      <c r="EB27" s="274"/>
      <c r="EC27" s="274"/>
      <c r="ED27" s="274"/>
      <c r="EE27" s="274"/>
      <c r="EF27" s="274"/>
      <c r="EG27" s="274"/>
      <c r="EH27" s="274"/>
      <c r="EI27" s="274"/>
      <c r="EJ27" s="274"/>
      <c r="EK27" s="274"/>
      <c r="EL27" s="274"/>
      <c r="EM27" s="274"/>
      <c r="EN27" s="274"/>
      <c r="EO27" s="274"/>
      <c r="EP27" s="274"/>
      <c r="EQ27" s="274"/>
      <c r="ER27" s="274"/>
      <c r="ES27" s="274"/>
      <c r="ET27" s="274"/>
      <c r="EU27" s="274"/>
      <c r="EV27" s="274"/>
      <c r="EW27" s="274"/>
      <c r="EX27" s="274"/>
      <c r="EY27" s="274"/>
      <c r="EZ27" s="274"/>
      <c r="FA27" s="274"/>
      <c r="FB27" s="274"/>
      <c r="FC27" s="274"/>
      <c r="FD27" s="274"/>
      <c r="FE27" s="274"/>
      <c r="FF27" s="274"/>
      <c r="FG27" s="274"/>
      <c r="FH27" s="274"/>
      <c r="FI27" s="274"/>
      <c r="FJ27" s="274"/>
      <c r="FK27" s="274"/>
      <c r="FL27" s="274"/>
      <c r="FM27" s="274"/>
      <c r="FN27" s="274"/>
      <c r="FO27" s="274"/>
      <c r="FP27" s="274"/>
      <c r="FQ27" s="274"/>
      <c r="FR27" s="274"/>
      <c r="FS27" s="274"/>
      <c r="FT27" s="274"/>
      <c r="FU27" s="274"/>
      <c r="FV27" s="274"/>
      <c r="FW27" s="274"/>
      <c r="FX27" s="274"/>
      <c r="FY27" s="274"/>
      <c r="FZ27" s="274"/>
      <c r="GA27" s="274"/>
      <c r="GB27" s="274"/>
      <c r="GC27" s="274"/>
      <c r="GD27" s="274"/>
      <c r="GE27" s="274"/>
      <c r="GF27" s="274"/>
      <c r="GG27" s="274"/>
      <c r="GH27" s="274"/>
      <c r="GI27" s="274"/>
      <c r="GJ27" s="274"/>
      <c r="GK27" s="274"/>
      <c r="GL27" s="274"/>
      <c r="GM27" s="274"/>
      <c r="GN27" s="274"/>
      <c r="GO27" s="274"/>
      <c r="GP27" s="274"/>
      <c r="GQ27" s="274"/>
      <c r="GR27" s="274"/>
      <c r="GS27" s="274"/>
      <c r="GT27" s="274"/>
      <c r="GU27" s="274"/>
      <c r="GV27" s="274"/>
      <c r="GW27" s="274"/>
      <c r="GX27" s="274"/>
      <c r="GY27" s="274"/>
      <c r="GZ27" s="274"/>
      <c r="HA27" s="274"/>
      <c r="HB27" s="274"/>
      <c r="HC27" s="274"/>
      <c r="HD27" s="274"/>
      <c r="HE27" s="274"/>
      <c r="HF27" s="274"/>
      <c r="HG27" s="274"/>
      <c r="HH27" s="274"/>
      <c r="HI27" s="274"/>
      <c r="HJ27" s="274"/>
    </row>
    <row r="28" spans="1:218" ht="12.75" customHeight="1">
      <c r="A28" s="87"/>
      <c r="B28" s="463"/>
      <c r="C28" s="463"/>
      <c r="D28" s="463"/>
      <c r="E28" s="463"/>
      <c r="F28" s="463"/>
      <c r="G28" s="463"/>
      <c r="H28" s="463"/>
      <c r="I28" s="463"/>
      <c r="J28" s="463"/>
      <c r="K28" s="463"/>
      <c r="L28" s="463"/>
      <c r="M28" s="87"/>
      <c r="N28" s="319"/>
      <c r="O28" s="315"/>
      <c r="P28" s="315"/>
      <c r="Q28" s="330"/>
      <c r="R28" s="329"/>
      <c r="S28" s="315"/>
      <c r="T28" s="315"/>
      <c r="U28" s="315"/>
      <c r="V28" s="315"/>
      <c r="W28" s="315"/>
      <c r="X28" s="315"/>
      <c r="Y28" s="315"/>
      <c r="Z28" s="274"/>
      <c r="AA28" s="274"/>
      <c r="AB28" s="274"/>
      <c r="AC28" s="274"/>
      <c r="AD28" s="274"/>
      <c r="AE28" s="274"/>
      <c r="AF28" s="274"/>
      <c r="AG28" s="274"/>
      <c r="AH28" s="274"/>
      <c r="AI28" s="274"/>
      <c r="AJ28" s="274"/>
      <c r="AK28" s="274"/>
      <c r="AL28" s="274"/>
      <c r="AM28" s="274"/>
      <c r="AN28" s="274"/>
      <c r="AO28" s="274"/>
      <c r="AP28" s="274"/>
      <c r="AQ28" s="274"/>
      <c r="AR28" s="274"/>
      <c r="AS28" s="274"/>
      <c r="AT28" s="274"/>
      <c r="AU28" s="274"/>
      <c r="AV28" s="274"/>
      <c r="AW28" s="274"/>
      <c r="AX28" s="274"/>
      <c r="AY28" s="274"/>
      <c r="AZ28" s="274"/>
      <c r="BA28" s="274"/>
      <c r="BB28" s="274"/>
      <c r="BC28" s="274"/>
      <c r="BD28" s="274"/>
      <c r="BE28" s="274"/>
      <c r="BF28" s="274"/>
      <c r="BG28" s="274"/>
      <c r="BH28" s="274"/>
      <c r="BI28" s="274"/>
      <c r="BJ28" s="274"/>
      <c r="BK28" s="274"/>
      <c r="BL28" s="274"/>
      <c r="BM28" s="274"/>
      <c r="BN28" s="274"/>
      <c r="BO28" s="274"/>
      <c r="BP28" s="274"/>
      <c r="BQ28" s="274"/>
      <c r="BR28" s="274"/>
      <c r="BS28" s="274"/>
      <c r="BT28" s="274"/>
      <c r="BU28" s="274"/>
      <c r="BV28" s="274"/>
      <c r="BW28" s="274"/>
      <c r="BX28" s="274"/>
      <c r="BY28" s="274"/>
      <c r="BZ28" s="274"/>
      <c r="CA28" s="274"/>
      <c r="CB28" s="274"/>
      <c r="CC28" s="274"/>
      <c r="CD28" s="274"/>
      <c r="CE28" s="274"/>
      <c r="CF28" s="274"/>
      <c r="CG28" s="274"/>
      <c r="CH28" s="274"/>
      <c r="CI28" s="274"/>
      <c r="CJ28" s="274"/>
      <c r="CK28" s="274"/>
      <c r="CL28" s="274"/>
      <c r="CM28" s="274"/>
      <c r="CN28" s="274"/>
      <c r="CO28" s="274"/>
      <c r="CP28" s="274"/>
      <c r="CQ28" s="274"/>
      <c r="CR28" s="274"/>
      <c r="CS28" s="274"/>
      <c r="CT28" s="274"/>
      <c r="CU28" s="274"/>
      <c r="CV28" s="274"/>
      <c r="CW28" s="274"/>
      <c r="CX28" s="274"/>
      <c r="CY28" s="274"/>
      <c r="CZ28" s="274"/>
      <c r="DA28" s="274"/>
      <c r="DB28" s="274"/>
      <c r="DC28" s="274"/>
      <c r="DD28" s="274"/>
      <c r="DE28" s="274"/>
      <c r="DF28" s="274"/>
      <c r="DG28" s="274"/>
      <c r="DH28" s="274"/>
      <c r="DI28" s="274"/>
      <c r="DJ28" s="274"/>
      <c r="DK28" s="274"/>
      <c r="DL28" s="274"/>
      <c r="DM28" s="274"/>
      <c r="DN28" s="274"/>
      <c r="DO28" s="274"/>
      <c r="DP28" s="274"/>
      <c r="DQ28" s="274"/>
      <c r="DR28" s="274"/>
      <c r="DS28" s="274"/>
      <c r="DT28" s="274"/>
      <c r="DU28" s="274"/>
      <c r="DV28" s="274"/>
      <c r="DW28" s="274"/>
      <c r="DX28" s="274"/>
      <c r="DY28" s="274"/>
      <c r="DZ28" s="274"/>
      <c r="EA28" s="274"/>
      <c r="EB28" s="274"/>
      <c r="EC28" s="274"/>
      <c r="ED28" s="274"/>
      <c r="EE28" s="274"/>
      <c r="EF28" s="274"/>
      <c r="EG28" s="274"/>
      <c r="EH28" s="274"/>
      <c r="EI28" s="274"/>
      <c r="EJ28" s="274"/>
      <c r="EK28" s="274"/>
      <c r="EL28" s="274"/>
      <c r="EM28" s="274"/>
      <c r="EN28" s="274"/>
      <c r="EO28" s="274"/>
      <c r="EP28" s="274"/>
      <c r="EQ28" s="274"/>
      <c r="ER28" s="274"/>
      <c r="ES28" s="274"/>
      <c r="ET28" s="274"/>
      <c r="EU28" s="274"/>
      <c r="EV28" s="274"/>
      <c r="EW28" s="274"/>
      <c r="EX28" s="274"/>
      <c r="EY28" s="274"/>
      <c r="EZ28" s="274"/>
      <c r="FA28" s="274"/>
      <c r="FB28" s="274"/>
      <c r="FC28" s="274"/>
      <c r="FD28" s="274"/>
      <c r="FE28" s="274"/>
      <c r="FF28" s="274"/>
      <c r="FG28" s="274"/>
      <c r="FH28" s="274"/>
      <c r="FI28" s="274"/>
      <c r="FJ28" s="274"/>
      <c r="FK28" s="274"/>
      <c r="FL28" s="274"/>
      <c r="FM28" s="274"/>
      <c r="FN28" s="274"/>
      <c r="FO28" s="274"/>
      <c r="FP28" s="274"/>
      <c r="FQ28" s="274"/>
      <c r="FR28" s="274"/>
      <c r="FS28" s="274"/>
      <c r="FT28" s="274"/>
      <c r="FU28" s="274"/>
      <c r="FV28" s="274"/>
      <c r="FW28" s="274"/>
      <c r="FX28" s="274"/>
      <c r="FY28" s="274"/>
      <c r="FZ28" s="274"/>
      <c r="GA28" s="274"/>
      <c r="GB28" s="274"/>
      <c r="GC28" s="274"/>
      <c r="GD28" s="274"/>
      <c r="GE28" s="274"/>
      <c r="GF28" s="274"/>
      <c r="GG28" s="274"/>
      <c r="GH28" s="274"/>
      <c r="GI28" s="274"/>
      <c r="GJ28" s="274"/>
      <c r="GK28" s="274"/>
      <c r="GL28" s="274"/>
      <c r="GM28" s="274"/>
      <c r="GN28" s="274"/>
      <c r="GO28" s="274"/>
      <c r="GP28" s="274"/>
      <c r="GQ28" s="274"/>
      <c r="GR28" s="274"/>
      <c r="GS28" s="274"/>
      <c r="GT28" s="274"/>
      <c r="GU28" s="274"/>
      <c r="GV28" s="274"/>
      <c r="GW28" s="274"/>
      <c r="GX28" s="274"/>
      <c r="GY28" s="274"/>
      <c r="GZ28" s="274"/>
      <c r="HA28" s="274"/>
      <c r="HB28" s="274"/>
      <c r="HC28" s="274"/>
      <c r="HD28" s="274"/>
      <c r="HE28" s="274"/>
      <c r="HF28" s="274"/>
      <c r="HG28" s="274"/>
      <c r="HH28" s="274"/>
      <c r="HI28" s="274"/>
      <c r="HJ28" s="274"/>
    </row>
    <row r="29" spans="1:218" ht="12.75">
      <c r="A29" s="87"/>
      <c r="B29" s="463"/>
      <c r="C29" s="463"/>
      <c r="D29" s="463"/>
      <c r="E29" s="463"/>
      <c r="F29" s="463"/>
      <c r="G29" s="463"/>
      <c r="H29" s="463"/>
      <c r="I29" s="463"/>
      <c r="J29" s="463"/>
      <c r="K29" s="463"/>
      <c r="L29" s="463"/>
      <c r="M29" s="87"/>
      <c r="N29" s="319"/>
      <c r="O29" s="315"/>
      <c r="P29" s="315"/>
      <c r="Q29" s="315"/>
      <c r="R29" s="331"/>
      <c r="S29" s="315"/>
      <c r="T29" s="315"/>
      <c r="U29" s="315"/>
      <c r="V29" s="315"/>
      <c r="W29" s="315"/>
      <c r="X29" s="315"/>
      <c r="Y29" s="315"/>
      <c r="Z29" s="274"/>
      <c r="AA29" s="274"/>
      <c r="AB29" s="274"/>
      <c r="AC29" s="274"/>
      <c r="AD29" s="274"/>
      <c r="AE29" s="274"/>
      <c r="AF29" s="274"/>
      <c r="AG29" s="274"/>
      <c r="AH29" s="274"/>
      <c r="AI29" s="274"/>
      <c r="AJ29" s="274"/>
      <c r="AK29" s="274"/>
      <c r="AL29" s="274"/>
      <c r="AM29" s="274"/>
      <c r="AN29" s="274"/>
      <c r="AO29" s="274"/>
      <c r="AP29" s="274"/>
      <c r="AQ29" s="274"/>
      <c r="AR29" s="274"/>
      <c r="AS29" s="274"/>
      <c r="AT29" s="274"/>
      <c r="AU29" s="274"/>
      <c r="AV29" s="274"/>
      <c r="AW29" s="274"/>
      <c r="AX29" s="274"/>
      <c r="AY29" s="274"/>
      <c r="AZ29" s="274"/>
      <c r="BA29" s="274"/>
      <c r="BB29" s="274"/>
      <c r="BC29" s="274"/>
      <c r="BD29" s="274"/>
      <c r="BE29" s="274"/>
      <c r="BF29" s="274"/>
      <c r="BG29" s="274"/>
      <c r="BH29" s="274"/>
      <c r="BI29" s="274"/>
      <c r="BJ29" s="274"/>
      <c r="BK29" s="274"/>
      <c r="BL29" s="274"/>
      <c r="BM29" s="274"/>
      <c r="BN29" s="274"/>
      <c r="BO29" s="274"/>
      <c r="BP29" s="274"/>
      <c r="BQ29" s="274"/>
      <c r="BR29" s="274"/>
      <c r="BS29" s="274"/>
      <c r="BT29" s="274"/>
      <c r="BU29" s="274"/>
      <c r="BV29" s="274"/>
      <c r="BW29" s="274"/>
      <c r="BX29" s="274"/>
      <c r="BY29" s="274"/>
      <c r="BZ29" s="274"/>
      <c r="CA29" s="274"/>
      <c r="CB29" s="274"/>
      <c r="CC29" s="274"/>
      <c r="CD29" s="274"/>
      <c r="CE29" s="274"/>
      <c r="CF29" s="274"/>
      <c r="CG29" s="274"/>
      <c r="CH29" s="274"/>
      <c r="CI29" s="274"/>
      <c r="CJ29" s="274"/>
      <c r="CK29" s="274"/>
      <c r="CL29" s="274"/>
      <c r="CM29" s="274"/>
      <c r="CN29" s="274"/>
      <c r="CO29" s="274"/>
      <c r="CP29" s="274"/>
      <c r="CQ29" s="274"/>
      <c r="CR29" s="274"/>
      <c r="CS29" s="274"/>
      <c r="CT29" s="274"/>
      <c r="CU29" s="274"/>
      <c r="CV29" s="274"/>
      <c r="CW29" s="274"/>
      <c r="CX29" s="274"/>
      <c r="CY29" s="274"/>
      <c r="CZ29" s="274"/>
      <c r="DA29" s="274"/>
      <c r="DB29" s="274"/>
      <c r="DC29" s="274"/>
      <c r="DD29" s="274"/>
      <c r="DE29" s="274"/>
      <c r="DF29" s="274"/>
      <c r="DG29" s="274"/>
      <c r="DH29" s="274"/>
      <c r="DI29" s="274"/>
      <c r="DJ29" s="274"/>
      <c r="DK29" s="274"/>
      <c r="DL29" s="274"/>
      <c r="DM29" s="274"/>
      <c r="DN29" s="274"/>
      <c r="DO29" s="274"/>
      <c r="DP29" s="274"/>
      <c r="DQ29" s="274"/>
      <c r="DR29" s="274"/>
      <c r="DS29" s="274"/>
      <c r="DT29" s="274"/>
      <c r="DU29" s="274"/>
      <c r="DV29" s="274"/>
      <c r="DW29" s="274"/>
      <c r="DX29" s="274"/>
      <c r="DY29" s="274"/>
      <c r="DZ29" s="274"/>
      <c r="EA29" s="274"/>
      <c r="EB29" s="274"/>
      <c r="EC29" s="274"/>
      <c r="ED29" s="274"/>
      <c r="EE29" s="274"/>
      <c r="EF29" s="274"/>
      <c r="EG29" s="274"/>
      <c r="EH29" s="274"/>
      <c r="EI29" s="274"/>
      <c r="EJ29" s="274"/>
      <c r="EK29" s="274"/>
      <c r="EL29" s="274"/>
      <c r="EM29" s="274"/>
      <c r="EN29" s="274"/>
      <c r="EO29" s="274"/>
      <c r="EP29" s="274"/>
      <c r="EQ29" s="274"/>
      <c r="ER29" s="274"/>
      <c r="ES29" s="274"/>
      <c r="ET29" s="274"/>
      <c r="EU29" s="274"/>
      <c r="EV29" s="274"/>
      <c r="EW29" s="274"/>
      <c r="EX29" s="274"/>
      <c r="EY29" s="274"/>
      <c r="EZ29" s="274"/>
      <c r="FA29" s="274"/>
      <c r="FB29" s="274"/>
      <c r="FC29" s="274"/>
      <c r="FD29" s="274"/>
      <c r="FE29" s="274"/>
      <c r="FF29" s="274"/>
      <c r="FG29" s="274"/>
      <c r="FH29" s="274"/>
      <c r="FI29" s="274"/>
      <c r="FJ29" s="274"/>
      <c r="FK29" s="274"/>
      <c r="FL29" s="274"/>
      <c r="FM29" s="274"/>
      <c r="FN29" s="274"/>
      <c r="FO29" s="274"/>
      <c r="FP29" s="274"/>
      <c r="FQ29" s="274"/>
      <c r="FR29" s="274"/>
      <c r="FS29" s="274"/>
      <c r="FT29" s="274"/>
      <c r="FU29" s="274"/>
      <c r="FV29" s="274"/>
      <c r="FW29" s="274"/>
      <c r="FX29" s="274"/>
      <c r="FY29" s="274"/>
      <c r="FZ29" s="274"/>
      <c r="GA29" s="274"/>
      <c r="GB29" s="274"/>
      <c r="GC29" s="274"/>
      <c r="GD29" s="274"/>
      <c r="GE29" s="274"/>
      <c r="GF29" s="274"/>
      <c r="GG29" s="274"/>
      <c r="GH29" s="274"/>
      <c r="GI29" s="274"/>
      <c r="GJ29" s="274"/>
      <c r="GK29" s="274"/>
      <c r="GL29" s="274"/>
      <c r="GM29" s="274"/>
      <c r="GN29" s="274"/>
      <c r="GO29" s="274"/>
      <c r="GP29" s="274"/>
      <c r="GQ29" s="274"/>
      <c r="GR29" s="274"/>
      <c r="GS29" s="274"/>
      <c r="GT29" s="274"/>
      <c r="GU29" s="274"/>
      <c r="GV29" s="274"/>
      <c r="GW29" s="274"/>
      <c r="GX29" s="274"/>
      <c r="GY29" s="274"/>
      <c r="GZ29" s="274"/>
      <c r="HA29" s="274"/>
      <c r="HB29" s="274"/>
      <c r="HC29" s="274"/>
      <c r="HD29" s="274"/>
      <c r="HE29" s="274"/>
      <c r="HF29" s="274"/>
      <c r="HG29" s="274"/>
      <c r="HH29" s="274"/>
      <c r="HI29" s="274"/>
      <c r="HJ29" s="274"/>
    </row>
    <row r="30" spans="1:218" ht="12.75">
      <c r="A30" s="87"/>
      <c r="B30" s="153"/>
      <c r="C30" s="33"/>
      <c r="D30" s="33"/>
      <c r="E30" s="33"/>
      <c r="F30" s="33"/>
      <c r="G30" s="33"/>
      <c r="H30" s="33"/>
      <c r="I30" s="33"/>
      <c r="J30" s="62"/>
      <c r="K30" s="63"/>
      <c r="L30" s="63"/>
      <c r="M30" s="87"/>
      <c r="N30" s="319"/>
      <c r="O30" s="315"/>
      <c r="P30" s="315"/>
      <c r="Q30" s="315"/>
      <c r="R30" s="331"/>
      <c r="S30" s="315"/>
      <c r="T30" s="315"/>
      <c r="U30" s="315"/>
      <c r="V30" s="315"/>
      <c r="W30" s="315"/>
      <c r="X30" s="315"/>
      <c r="Y30" s="315"/>
      <c r="Z30" s="274"/>
      <c r="AA30" s="274"/>
      <c r="AB30" s="274"/>
      <c r="AC30" s="274"/>
      <c r="AD30" s="274"/>
      <c r="AE30" s="274"/>
      <c r="AF30" s="274"/>
      <c r="AG30" s="274"/>
      <c r="AH30" s="274"/>
      <c r="AI30" s="274"/>
      <c r="AJ30" s="274"/>
      <c r="AK30" s="274"/>
      <c r="AL30" s="274"/>
      <c r="AM30" s="274"/>
      <c r="AN30" s="274"/>
      <c r="AO30" s="274"/>
      <c r="AP30" s="274"/>
      <c r="AQ30" s="274"/>
      <c r="AR30" s="274"/>
      <c r="AS30" s="274"/>
      <c r="AT30" s="274"/>
      <c r="AU30" s="274"/>
      <c r="AV30" s="274"/>
      <c r="AW30" s="274"/>
      <c r="AX30" s="274"/>
      <c r="AY30" s="274"/>
      <c r="AZ30" s="274"/>
      <c r="BA30" s="274"/>
      <c r="BB30" s="274"/>
      <c r="BC30" s="274"/>
      <c r="BD30" s="274"/>
      <c r="BE30" s="274"/>
      <c r="BF30" s="274"/>
      <c r="BG30" s="274"/>
      <c r="BH30" s="274"/>
      <c r="BI30" s="274"/>
      <c r="BJ30" s="274"/>
      <c r="BK30" s="274"/>
      <c r="BL30" s="274"/>
      <c r="BM30" s="274"/>
      <c r="BN30" s="274"/>
      <c r="BO30" s="274"/>
      <c r="BP30" s="274"/>
      <c r="BQ30" s="274"/>
      <c r="BR30" s="274"/>
      <c r="BS30" s="274"/>
      <c r="BT30" s="274"/>
      <c r="BU30" s="274"/>
      <c r="BV30" s="274"/>
      <c r="BW30" s="274"/>
      <c r="BX30" s="274"/>
      <c r="BY30" s="274"/>
      <c r="BZ30" s="274"/>
      <c r="CA30" s="274"/>
      <c r="CB30" s="274"/>
      <c r="CC30" s="274"/>
      <c r="CD30" s="274"/>
      <c r="CE30" s="274"/>
      <c r="CF30" s="274"/>
      <c r="CG30" s="274"/>
      <c r="CH30" s="274"/>
      <c r="CI30" s="274"/>
      <c r="CJ30" s="274"/>
      <c r="CK30" s="274"/>
      <c r="CL30" s="274"/>
      <c r="CM30" s="274"/>
      <c r="CN30" s="274"/>
      <c r="CO30" s="274"/>
      <c r="CP30" s="274"/>
      <c r="CQ30" s="274"/>
      <c r="CR30" s="274"/>
      <c r="CS30" s="274"/>
      <c r="CT30" s="274"/>
      <c r="CU30" s="274"/>
      <c r="CV30" s="274"/>
      <c r="CW30" s="274"/>
      <c r="CX30" s="274"/>
      <c r="CY30" s="274"/>
      <c r="CZ30" s="274"/>
      <c r="DA30" s="274"/>
      <c r="DB30" s="274"/>
      <c r="DC30" s="274"/>
      <c r="DD30" s="274"/>
      <c r="DE30" s="274"/>
      <c r="DF30" s="274"/>
      <c r="DG30" s="274"/>
      <c r="DH30" s="274"/>
      <c r="DI30" s="274"/>
      <c r="DJ30" s="274"/>
      <c r="DK30" s="274"/>
      <c r="DL30" s="274"/>
      <c r="DM30" s="274"/>
      <c r="DN30" s="274"/>
      <c r="DO30" s="274"/>
      <c r="DP30" s="274"/>
      <c r="DQ30" s="274"/>
      <c r="DR30" s="274"/>
      <c r="DS30" s="274"/>
      <c r="DT30" s="274"/>
      <c r="DU30" s="274"/>
      <c r="DV30" s="274"/>
      <c r="DW30" s="274"/>
      <c r="DX30" s="274"/>
      <c r="DY30" s="274"/>
      <c r="DZ30" s="274"/>
      <c r="EA30" s="274"/>
      <c r="EB30" s="274"/>
      <c r="EC30" s="274"/>
      <c r="ED30" s="274"/>
      <c r="EE30" s="274"/>
      <c r="EF30" s="274"/>
      <c r="EG30" s="274"/>
      <c r="EH30" s="274"/>
      <c r="EI30" s="274"/>
      <c r="EJ30" s="274"/>
      <c r="EK30" s="274"/>
      <c r="EL30" s="274"/>
      <c r="EM30" s="274"/>
      <c r="EN30" s="274"/>
      <c r="EO30" s="274"/>
      <c r="EP30" s="274"/>
      <c r="EQ30" s="274"/>
      <c r="ER30" s="274"/>
      <c r="ES30" s="274"/>
      <c r="ET30" s="274"/>
      <c r="EU30" s="274"/>
      <c r="EV30" s="274"/>
      <c r="EW30" s="274"/>
      <c r="EX30" s="274"/>
      <c r="EY30" s="274"/>
      <c r="EZ30" s="274"/>
      <c r="FA30" s="274"/>
      <c r="FB30" s="274"/>
      <c r="FC30" s="274"/>
      <c r="FD30" s="274"/>
      <c r="FE30" s="274"/>
      <c r="FF30" s="274"/>
      <c r="FG30" s="274"/>
      <c r="FH30" s="274"/>
      <c r="FI30" s="274"/>
      <c r="FJ30" s="274"/>
      <c r="FK30" s="274"/>
      <c r="FL30" s="274"/>
      <c r="FM30" s="274"/>
      <c r="FN30" s="274"/>
      <c r="FO30" s="274"/>
      <c r="FP30" s="274"/>
      <c r="FQ30" s="274"/>
      <c r="FR30" s="274"/>
      <c r="FS30" s="274"/>
      <c r="FT30" s="274"/>
      <c r="FU30" s="274"/>
      <c r="FV30" s="274"/>
      <c r="FW30" s="274"/>
      <c r="FX30" s="274"/>
      <c r="FY30" s="274"/>
      <c r="FZ30" s="274"/>
      <c r="GA30" s="274"/>
      <c r="GB30" s="274"/>
      <c r="GC30" s="274"/>
      <c r="GD30" s="274"/>
      <c r="GE30" s="274"/>
      <c r="GF30" s="274"/>
      <c r="GG30" s="274"/>
      <c r="GH30" s="274"/>
      <c r="GI30" s="274"/>
      <c r="GJ30" s="274"/>
      <c r="GK30" s="274"/>
      <c r="GL30" s="274"/>
      <c r="GM30" s="274"/>
      <c r="GN30" s="274"/>
      <c r="GO30" s="274"/>
      <c r="GP30" s="274"/>
      <c r="GQ30" s="274"/>
      <c r="GR30" s="274"/>
      <c r="GS30" s="274"/>
      <c r="GT30" s="274"/>
      <c r="GU30" s="274"/>
      <c r="GV30" s="274"/>
      <c r="GW30" s="274"/>
      <c r="GX30" s="274"/>
      <c r="GY30" s="274"/>
      <c r="GZ30" s="274"/>
      <c r="HA30" s="274"/>
      <c r="HB30" s="274"/>
      <c r="HC30" s="274"/>
      <c r="HD30" s="274"/>
      <c r="HE30" s="274"/>
      <c r="HF30" s="274"/>
      <c r="HG30" s="274"/>
      <c r="HH30" s="274"/>
      <c r="HI30" s="274"/>
      <c r="HJ30" s="274"/>
    </row>
    <row r="31" spans="1:218" ht="12.75">
      <c r="A31" s="87"/>
      <c r="B31" s="279" t="s">
        <v>212</v>
      </c>
      <c r="C31" s="33"/>
      <c r="D31" s="33"/>
      <c r="E31" s="33"/>
      <c r="F31" s="33"/>
      <c r="G31" s="33"/>
      <c r="H31" s="33"/>
      <c r="I31" s="33"/>
      <c r="J31" s="62"/>
      <c r="K31" s="63"/>
      <c r="L31" s="63"/>
      <c r="M31" s="87"/>
      <c r="N31" s="319"/>
      <c r="O31" s="315"/>
      <c r="P31" s="315"/>
      <c r="Q31" s="315"/>
      <c r="R31" s="331"/>
      <c r="S31" s="315"/>
      <c r="T31" s="315"/>
      <c r="U31" s="315"/>
      <c r="V31" s="315"/>
      <c r="W31" s="315"/>
      <c r="X31" s="315"/>
      <c r="Y31" s="315"/>
      <c r="Z31" s="274"/>
      <c r="AA31" s="274"/>
      <c r="AB31" s="274"/>
      <c r="AC31" s="274"/>
      <c r="AD31" s="274"/>
      <c r="AE31" s="274"/>
      <c r="AF31" s="274"/>
      <c r="AG31" s="274"/>
      <c r="AH31" s="274"/>
      <c r="AI31" s="274"/>
      <c r="AJ31" s="274"/>
      <c r="AK31" s="274"/>
      <c r="AL31" s="274"/>
      <c r="AM31" s="274"/>
      <c r="AN31" s="274"/>
      <c r="AO31" s="274"/>
      <c r="AP31" s="274"/>
      <c r="AQ31" s="274"/>
      <c r="AR31" s="274"/>
      <c r="AS31" s="274"/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4"/>
      <c r="BH31" s="274"/>
      <c r="BI31" s="274"/>
      <c r="BJ31" s="274"/>
      <c r="BK31" s="274"/>
      <c r="BL31" s="274"/>
      <c r="BM31" s="274"/>
      <c r="BN31" s="274"/>
      <c r="BO31" s="274"/>
      <c r="BP31" s="274"/>
      <c r="BQ31" s="274"/>
      <c r="BR31" s="274"/>
      <c r="BS31" s="274"/>
      <c r="BT31" s="274"/>
      <c r="BU31" s="274"/>
      <c r="BV31" s="274"/>
      <c r="BW31" s="274"/>
      <c r="BX31" s="274"/>
      <c r="BY31" s="274"/>
      <c r="BZ31" s="274"/>
      <c r="CA31" s="274"/>
      <c r="CB31" s="274"/>
      <c r="CC31" s="274"/>
      <c r="CD31" s="274"/>
      <c r="CE31" s="274"/>
      <c r="CF31" s="274"/>
      <c r="CG31" s="274"/>
      <c r="CH31" s="274"/>
      <c r="CI31" s="274"/>
      <c r="CJ31" s="274"/>
      <c r="CK31" s="274"/>
      <c r="CL31" s="274"/>
      <c r="CM31" s="274"/>
      <c r="CN31" s="274"/>
      <c r="CO31" s="274"/>
      <c r="CP31" s="274"/>
      <c r="CQ31" s="274"/>
      <c r="CR31" s="274"/>
      <c r="CS31" s="274"/>
      <c r="CT31" s="274"/>
      <c r="CU31" s="274"/>
      <c r="CV31" s="274"/>
      <c r="CW31" s="274"/>
      <c r="CX31" s="274"/>
      <c r="CY31" s="274"/>
      <c r="CZ31" s="274"/>
      <c r="DA31" s="274"/>
      <c r="DB31" s="274"/>
      <c r="DC31" s="274"/>
      <c r="DD31" s="274"/>
      <c r="DE31" s="274"/>
      <c r="DF31" s="274"/>
      <c r="DG31" s="274"/>
      <c r="DH31" s="274"/>
      <c r="DI31" s="274"/>
      <c r="DJ31" s="274"/>
      <c r="DK31" s="274"/>
      <c r="DL31" s="274"/>
      <c r="DM31" s="274"/>
      <c r="DN31" s="274"/>
      <c r="DO31" s="274"/>
      <c r="DP31" s="274"/>
      <c r="DQ31" s="274"/>
      <c r="DR31" s="274"/>
      <c r="DS31" s="274"/>
      <c r="DT31" s="274"/>
      <c r="DU31" s="274"/>
      <c r="DV31" s="274"/>
      <c r="DW31" s="274"/>
      <c r="DX31" s="274"/>
      <c r="DY31" s="274"/>
      <c r="DZ31" s="274"/>
      <c r="EA31" s="274"/>
      <c r="EB31" s="274"/>
      <c r="EC31" s="274"/>
      <c r="ED31" s="274"/>
      <c r="EE31" s="274"/>
      <c r="EF31" s="274"/>
      <c r="EG31" s="274"/>
      <c r="EH31" s="274"/>
      <c r="EI31" s="274"/>
      <c r="EJ31" s="274"/>
      <c r="EK31" s="274"/>
      <c r="EL31" s="274"/>
      <c r="EM31" s="274"/>
      <c r="EN31" s="274"/>
      <c r="EO31" s="274"/>
      <c r="EP31" s="274"/>
      <c r="EQ31" s="274"/>
      <c r="ER31" s="274"/>
      <c r="ES31" s="274"/>
      <c r="ET31" s="274"/>
      <c r="EU31" s="274"/>
      <c r="EV31" s="274"/>
      <c r="EW31" s="274"/>
      <c r="EX31" s="274"/>
      <c r="EY31" s="274"/>
      <c r="EZ31" s="274"/>
      <c r="FA31" s="274"/>
      <c r="FB31" s="274"/>
      <c r="FC31" s="274"/>
      <c r="FD31" s="274"/>
      <c r="FE31" s="274"/>
      <c r="FF31" s="274"/>
      <c r="FG31" s="274"/>
      <c r="FH31" s="274"/>
      <c r="FI31" s="274"/>
      <c r="FJ31" s="274"/>
      <c r="FK31" s="274"/>
      <c r="FL31" s="274"/>
      <c r="FM31" s="274"/>
      <c r="FN31" s="274"/>
      <c r="FO31" s="274"/>
      <c r="FP31" s="274"/>
      <c r="FQ31" s="274"/>
      <c r="FR31" s="274"/>
      <c r="FS31" s="274"/>
      <c r="FT31" s="274"/>
      <c r="FU31" s="274"/>
      <c r="FV31" s="274"/>
      <c r="FW31" s="274"/>
      <c r="FX31" s="274"/>
      <c r="FY31" s="274"/>
      <c r="FZ31" s="274"/>
      <c r="GA31" s="274"/>
      <c r="GB31" s="274"/>
      <c r="GC31" s="274"/>
      <c r="GD31" s="274"/>
      <c r="GE31" s="274"/>
      <c r="GF31" s="274"/>
      <c r="GG31" s="274"/>
      <c r="GH31" s="274"/>
      <c r="GI31" s="274"/>
      <c r="GJ31" s="274"/>
      <c r="GK31" s="274"/>
      <c r="GL31" s="274"/>
      <c r="GM31" s="274"/>
      <c r="GN31" s="274"/>
      <c r="GO31" s="274"/>
      <c r="GP31" s="274"/>
      <c r="GQ31" s="274"/>
      <c r="GR31" s="274"/>
      <c r="GS31" s="274"/>
      <c r="GT31" s="274"/>
      <c r="GU31" s="274"/>
      <c r="GV31" s="274"/>
      <c r="GW31" s="274"/>
      <c r="GX31" s="274"/>
      <c r="GY31" s="274"/>
      <c r="GZ31" s="274"/>
      <c r="HA31" s="274"/>
      <c r="HB31" s="274"/>
      <c r="HC31" s="274"/>
      <c r="HD31" s="274"/>
      <c r="HE31" s="274"/>
      <c r="HF31" s="274"/>
      <c r="HG31" s="274"/>
      <c r="HH31" s="274"/>
      <c r="HI31" s="274"/>
      <c r="HJ31" s="274"/>
    </row>
    <row r="32" spans="1:218" ht="12.75">
      <c r="A32" s="87"/>
      <c r="B32" s="153"/>
      <c r="C32" s="288"/>
      <c r="D32" s="288"/>
      <c r="E32" s="288"/>
      <c r="F32" s="288"/>
      <c r="G32" s="33"/>
      <c r="H32" s="33"/>
      <c r="I32" s="33"/>
      <c r="J32" s="62"/>
      <c r="K32" s="63"/>
      <c r="L32" s="63"/>
      <c r="M32" s="87"/>
      <c r="N32" s="319"/>
      <c r="O32" s="315"/>
      <c r="P32" s="315"/>
      <c r="Q32" s="315"/>
      <c r="R32" s="331"/>
      <c r="S32" s="315"/>
      <c r="T32" s="315"/>
      <c r="U32" s="315"/>
      <c r="V32" s="315"/>
      <c r="W32" s="315"/>
      <c r="X32" s="315"/>
      <c r="Y32" s="315"/>
      <c r="Z32" s="274"/>
      <c r="AA32" s="274"/>
      <c r="AB32" s="274"/>
      <c r="AC32" s="274"/>
      <c r="AD32" s="274"/>
      <c r="AE32" s="274"/>
      <c r="AF32" s="274"/>
      <c r="AG32" s="274"/>
      <c r="AH32" s="274"/>
      <c r="AI32" s="274"/>
      <c r="AJ32" s="274"/>
      <c r="AK32" s="274"/>
      <c r="AL32" s="274"/>
      <c r="AM32" s="274"/>
      <c r="AN32" s="274"/>
      <c r="AO32" s="274"/>
      <c r="AP32" s="274"/>
      <c r="AQ32" s="274"/>
      <c r="AR32" s="274"/>
      <c r="AS32" s="274"/>
      <c r="AT32" s="274"/>
      <c r="AU32" s="274"/>
      <c r="AV32" s="274"/>
      <c r="AW32" s="274"/>
      <c r="AX32" s="274"/>
      <c r="AY32" s="274"/>
      <c r="AZ32" s="274"/>
      <c r="BA32" s="274"/>
      <c r="BB32" s="274"/>
      <c r="BC32" s="274"/>
      <c r="BD32" s="274"/>
      <c r="BE32" s="274"/>
      <c r="BF32" s="274"/>
      <c r="BG32" s="274"/>
      <c r="BH32" s="274"/>
      <c r="BI32" s="274"/>
      <c r="BJ32" s="274"/>
      <c r="BK32" s="274"/>
      <c r="BL32" s="274"/>
      <c r="BM32" s="274"/>
      <c r="BN32" s="274"/>
      <c r="BO32" s="274"/>
      <c r="BP32" s="274"/>
      <c r="BQ32" s="274"/>
      <c r="BR32" s="274"/>
      <c r="BS32" s="274"/>
      <c r="BT32" s="274"/>
      <c r="BU32" s="274"/>
      <c r="BV32" s="274"/>
      <c r="BW32" s="274"/>
      <c r="BX32" s="274"/>
      <c r="BY32" s="274"/>
      <c r="BZ32" s="274"/>
      <c r="CA32" s="274"/>
      <c r="CB32" s="274"/>
      <c r="CC32" s="274"/>
      <c r="CD32" s="274"/>
      <c r="CE32" s="274"/>
      <c r="CF32" s="274"/>
      <c r="CG32" s="274"/>
      <c r="CH32" s="274"/>
      <c r="CI32" s="274"/>
      <c r="CJ32" s="274"/>
      <c r="CK32" s="274"/>
      <c r="CL32" s="274"/>
      <c r="CM32" s="274"/>
      <c r="CN32" s="274"/>
      <c r="CO32" s="274"/>
      <c r="CP32" s="274"/>
      <c r="CQ32" s="274"/>
      <c r="CR32" s="274"/>
      <c r="CS32" s="274"/>
      <c r="CT32" s="274"/>
      <c r="CU32" s="274"/>
      <c r="CV32" s="274"/>
      <c r="CW32" s="274"/>
      <c r="CX32" s="274"/>
      <c r="CY32" s="274"/>
      <c r="CZ32" s="274"/>
      <c r="DA32" s="274"/>
      <c r="DB32" s="274"/>
      <c r="DC32" s="274"/>
      <c r="DD32" s="274"/>
      <c r="DE32" s="274"/>
      <c r="DF32" s="274"/>
      <c r="DG32" s="274"/>
      <c r="DH32" s="274"/>
      <c r="DI32" s="274"/>
      <c r="DJ32" s="274"/>
      <c r="DK32" s="274"/>
      <c r="DL32" s="274"/>
      <c r="DM32" s="274"/>
      <c r="DN32" s="274"/>
      <c r="DO32" s="274"/>
      <c r="DP32" s="274"/>
      <c r="DQ32" s="274"/>
      <c r="DR32" s="274"/>
      <c r="DS32" s="274"/>
      <c r="DT32" s="274"/>
      <c r="DU32" s="274"/>
      <c r="DV32" s="274"/>
      <c r="DW32" s="274"/>
      <c r="DX32" s="274"/>
      <c r="DY32" s="274"/>
      <c r="DZ32" s="274"/>
      <c r="EA32" s="274"/>
      <c r="EB32" s="274"/>
      <c r="EC32" s="274"/>
      <c r="ED32" s="274"/>
      <c r="EE32" s="274"/>
      <c r="EF32" s="274"/>
      <c r="EG32" s="274"/>
      <c r="EH32" s="274"/>
      <c r="EI32" s="274"/>
      <c r="EJ32" s="274"/>
      <c r="EK32" s="274"/>
      <c r="EL32" s="274"/>
      <c r="EM32" s="274"/>
      <c r="EN32" s="274"/>
      <c r="EO32" s="274"/>
      <c r="EP32" s="274"/>
      <c r="EQ32" s="274"/>
      <c r="ER32" s="274"/>
      <c r="ES32" s="274"/>
      <c r="ET32" s="274"/>
      <c r="EU32" s="274"/>
      <c r="EV32" s="274"/>
      <c r="EW32" s="274"/>
      <c r="EX32" s="274"/>
      <c r="EY32" s="274"/>
      <c r="EZ32" s="274"/>
      <c r="FA32" s="274"/>
      <c r="FB32" s="274"/>
      <c r="FC32" s="274"/>
      <c r="FD32" s="274"/>
      <c r="FE32" s="274"/>
      <c r="FF32" s="274"/>
      <c r="FG32" s="274"/>
      <c r="FH32" s="274"/>
      <c r="FI32" s="274"/>
      <c r="FJ32" s="274"/>
      <c r="FK32" s="274"/>
      <c r="FL32" s="274"/>
      <c r="FM32" s="274"/>
      <c r="FN32" s="274"/>
      <c r="FO32" s="274"/>
      <c r="FP32" s="274"/>
      <c r="FQ32" s="274"/>
      <c r="FR32" s="274"/>
      <c r="FS32" s="274"/>
      <c r="FT32" s="274"/>
      <c r="FU32" s="274"/>
      <c r="FV32" s="274"/>
      <c r="FW32" s="274"/>
      <c r="FX32" s="274"/>
      <c r="FY32" s="274"/>
      <c r="FZ32" s="274"/>
      <c r="GA32" s="274"/>
      <c r="GB32" s="274"/>
      <c r="GC32" s="274"/>
      <c r="GD32" s="274"/>
      <c r="GE32" s="274"/>
      <c r="GF32" s="274"/>
      <c r="GG32" s="274"/>
      <c r="GH32" s="274"/>
      <c r="GI32" s="274"/>
      <c r="GJ32" s="274"/>
      <c r="GK32" s="274"/>
      <c r="GL32" s="274"/>
      <c r="GM32" s="274"/>
      <c r="GN32" s="274"/>
      <c r="GO32" s="274"/>
      <c r="GP32" s="274"/>
      <c r="GQ32" s="274"/>
      <c r="GR32" s="274"/>
      <c r="GS32" s="274"/>
      <c r="GT32" s="274"/>
      <c r="GU32" s="274"/>
      <c r="GV32" s="274"/>
      <c r="GW32" s="274"/>
      <c r="GX32" s="274"/>
      <c r="GY32" s="274"/>
      <c r="GZ32" s="274"/>
      <c r="HA32" s="274"/>
      <c r="HB32" s="274"/>
      <c r="HC32" s="274"/>
      <c r="HD32" s="274"/>
      <c r="HE32" s="274"/>
      <c r="HF32" s="274"/>
      <c r="HG32" s="274"/>
      <c r="HH32" s="274"/>
      <c r="HI32" s="274"/>
      <c r="HJ32" s="274"/>
    </row>
    <row r="33" spans="1:218" ht="12.75">
      <c r="A33" s="87"/>
      <c r="B33" s="153"/>
      <c r="C33" s="288"/>
      <c r="D33" s="288"/>
      <c r="E33" s="288"/>
      <c r="F33" s="288"/>
      <c r="G33" s="33"/>
      <c r="H33" s="33"/>
      <c r="I33" s="33"/>
      <c r="J33" s="62"/>
      <c r="K33" s="63"/>
      <c r="L33" s="63"/>
      <c r="M33" s="87"/>
      <c r="N33" s="319"/>
      <c r="O33" s="315"/>
      <c r="P33" s="315"/>
      <c r="Q33" s="315"/>
      <c r="R33" s="331"/>
      <c r="S33" s="315"/>
      <c r="T33" s="315"/>
      <c r="U33" s="315"/>
      <c r="V33" s="315"/>
      <c r="W33" s="315"/>
      <c r="X33" s="315"/>
      <c r="Y33" s="315"/>
      <c r="Z33" s="274"/>
      <c r="AA33" s="274"/>
      <c r="AB33" s="274"/>
      <c r="AC33" s="274"/>
      <c r="AD33" s="274"/>
      <c r="AE33" s="274"/>
      <c r="AF33" s="274"/>
      <c r="AG33" s="274"/>
      <c r="AH33" s="274"/>
      <c r="AI33" s="274"/>
      <c r="AJ33" s="274"/>
      <c r="AK33" s="274"/>
      <c r="AL33" s="274"/>
      <c r="AM33" s="274"/>
      <c r="AN33" s="274"/>
      <c r="AO33" s="274"/>
      <c r="AP33" s="274"/>
      <c r="AQ33" s="274"/>
      <c r="AR33" s="274"/>
      <c r="AS33" s="274"/>
      <c r="AT33" s="274"/>
      <c r="AU33" s="274"/>
      <c r="AV33" s="274"/>
      <c r="AW33" s="274"/>
      <c r="AX33" s="274"/>
      <c r="AY33" s="274"/>
      <c r="AZ33" s="274"/>
      <c r="BA33" s="274"/>
      <c r="BB33" s="274"/>
      <c r="BC33" s="274"/>
      <c r="BD33" s="274"/>
      <c r="BE33" s="274"/>
      <c r="BF33" s="274"/>
      <c r="BG33" s="274"/>
      <c r="BH33" s="274"/>
      <c r="BI33" s="274"/>
      <c r="BJ33" s="274"/>
      <c r="BK33" s="274"/>
      <c r="BL33" s="274"/>
      <c r="BM33" s="274"/>
      <c r="BN33" s="274"/>
      <c r="BO33" s="274"/>
      <c r="BP33" s="274"/>
      <c r="BQ33" s="274"/>
      <c r="BR33" s="274"/>
      <c r="BS33" s="274"/>
      <c r="BT33" s="274"/>
      <c r="BU33" s="274"/>
      <c r="BV33" s="274"/>
      <c r="BW33" s="274"/>
      <c r="BX33" s="274"/>
      <c r="BY33" s="274"/>
      <c r="BZ33" s="274"/>
      <c r="CA33" s="274"/>
      <c r="CB33" s="274"/>
      <c r="CC33" s="274"/>
      <c r="CD33" s="274"/>
      <c r="CE33" s="274"/>
      <c r="CF33" s="274"/>
      <c r="CG33" s="274"/>
      <c r="CH33" s="274"/>
      <c r="CI33" s="274"/>
      <c r="CJ33" s="274"/>
      <c r="CK33" s="274"/>
      <c r="CL33" s="274"/>
      <c r="CM33" s="274"/>
      <c r="CN33" s="274"/>
      <c r="CO33" s="274"/>
      <c r="CP33" s="274"/>
      <c r="CQ33" s="274"/>
      <c r="CR33" s="274"/>
      <c r="CS33" s="274"/>
      <c r="CT33" s="274"/>
      <c r="CU33" s="274"/>
      <c r="CV33" s="274"/>
      <c r="CW33" s="274"/>
      <c r="CX33" s="274"/>
      <c r="CY33" s="274"/>
      <c r="CZ33" s="274"/>
      <c r="DA33" s="274"/>
      <c r="DB33" s="274"/>
      <c r="DC33" s="274"/>
      <c r="DD33" s="274"/>
      <c r="DE33" s="274"/>
      <c r="DF33" s="274"/>
      <c r="DG33" s="274"/>
      <c r="DH33" s="274"/>
      <c r="DI33" s="274"/>
      <c r="DJ33" s="274"/>
      <c r="DK33" s="274"/>
      <c r="DL33" s="274"/>
      <c r="DM33" s="274"/>
      <c r="DN33" s="274"/>
      <c r="DO33" s="274"/>
      <c r="DP33" s="274"/>
      <c r="DQ33" s="274"/>
      <c r="DR33" s="274"/>
      <c r="DS33" s="274"/>
      <c r="DT33" s="274"/>
      <c r="DU33" s="274"/>
      <c r="DV33" s="274"/>
      <c r="DW33" s="274"/>
      <c r="DX33" s="274"/>
      <c r="DY33" s="274"/>
      <c r="DZ33" s="274"/>
      <c r="EA33" s="274"/>
      <c r="EB33" s="274"/>
      <c r="EC33" s="274"/>
      <c r="ED33" s="274"/>
      <c r="EE33" s="274"/>
      <c r="EF33" s="274"/>
      <c r="EG33" s="274"/>
      <c r="EH33" s="274"/>
      <c r="EI33" s="274"/>
      <c r="EJ33" s="274"/>
      <c r="EK33" s="274"/>
      <c r="EL33" s="274"/>
      <c r="EM33" s="274"/>
      <c r="EN33" s="274"/>
      <c r="EO33" s="274"/>
      <c r="EP33" s="274"/>
      <c r="EQ33" s="274"/>
      <c r="ER33" s="274"/>
      <c r="ES33" s="274"/>
      <c r="ET33" s="274"/>
      <c r="EU33" s="274"/>
      <c r="EV33" s="274"/>
      <c r="EW33" s="274"/>
      <c r="EX33" s="274"/>
      <c r="EY33" s="274"/>
      <c r="EZ33" s="274"/>
      <c r="FA33" s="274"/>
      <c r="FB33" s="274"/>
      <c r="FC33" s="274"/>
      <c r="FD33" s="274"/>
      <c r="FE33" s="274"/>
      <c r="FF33" s="274"/>
      <c r="FG33" s="274"/>
      <c r="FH33" s="274"/>
      <c r="FI33" s="274"/>
      <c r="FJ33" s="274"/>
      <c r="FK33" s="274"/>
      <c r="FL33" s="274"/>
      <c r="FM33" s="274"/>
      <c r="FN33" s="274"/>
      <c r="FO33" s="274"/>
      <c r="FP33" s="274"/>
      <c r="FQ33" s="274"/>
      <c r="FR33" s="274"/>
      <c r="FS33" s="274"/>
      <c r="FT33" s="274"/>
      <c r="FU33" s="274"/>
      <c r="FV33" s="274"/>
      <c r="FW33" s="274"/>
      <c r="FX33" s="274"/>
      <c r="FY33" s="274"/>
      <c r="FZ33" s="274"/>
      <c r="GA33" s="274"/>
      <c r="GB33" s="274"/>
      <c r="GC33" s="274"/>
      <c r="GD33" s="274"/>
      <c r="GE33" s="274"/>
      <c r="GF33" s="274"/>
      <c r="GG33" s="274"/>
      <c r="GH33" s="274"/>
      <c r="GI33" s="274"/>
      <c r="GJ33" s="274"/>
      <c r="GK33" s="274"/>
      <c r="GL33" s="274"/>
      <c r="GM33" s="274"/>
      <c r="GN33" s="274"/>
      <c r="GO33" s="274"/>
      <c r="GP33" s="274"/>
      <c r="GQ33" s="274"/>
      <c r="GR33" s="274"/>
      <c r="GS33" s="274"/>
      <c r="GT33" s="274"/>
      <c r="GU33" s="274"/>
      <c r="GV33" s="274"/>
      <c r="GW33" s="274"/>
      <c r="GX33" s="274"/>
      <c r="GY33" s="274"/>
      <c r="GZ33" s="274"/>
      <c r="HA33" s="274"/>
      <c r="HB33" s="274"/>
      <c r="HC33" s="274"/>
      <c r="HD33" s="274"/>
      <c r="HE33" s="274"/>
      <c r="HF33" s="274"/>
      <c r="HG33" s="274"/>
      <c r="HH33" s="274"/>
      <c r="HI33" s="274"/>
      <c r="HJ33" s="274"/>
    </row>
    <row r="34" spans="1:218" ht="12.75">
      <c r="A34" s="87"/>
      <c r="B34" s="153"/>
      <c r="C34" s="288"/>
      <c r="D34" s="288"/>
      <c r="E34" s="288"/>
      <c r="F34" s="288"/>
      <c r="G34" s="33"/>
      <c r="H34" s="33"/>
      <c r="I34" s="33"/>
      <c r="J34" s="62"/>
      <c r="K34" s="63"/>
      <c r="L34" s="63"/>
      <c r="M34" s="87"/>
      <c r="N34" s="319"/>
      <c r="O34" s="315"/>
      <c r="P34" s="315"/>
      <c r="Q34" s="315"/>
      <c r="R34" s="331"/>
      <c r="S34" s="315"/>
      <c r="T34" s="315"/>
      <c r="U34" s="315"/>
      <c r="V34" s="315"/>
      <c r="W34" s="315"/>
      <c r="X34" s="315"/>
      <c r="Y34" s="315"/>
      <c r="Z34" s="274"/>
      <c r="AA34" s="274"/>
      <c r="AB34" s="274"/>
      <c r="AC34" s="274"/>
      <c r="AD34" s="274"/>
      <c r="AE34" s="274"/>
      <c r="AF34" s="274"/>
      <c r="AG34" s="274"/>
      <c r="AH34" s="274"/>
      <c r="AI34" s="274"/>
      <c r="AJ34" s="274"/>
      <c r="AK34" s="274"/>
      <c r="AL34" s="274"/>
      <c r="AM34" s="274"/>
      <c r="AN34" s="274"/>
      <c r="AO34" s="274"/>
      <c r="AP34" s="274"/>
      <c r="AQ34" s="274"/>
      <c r="AR34" s="274"/>
      <c r="AS34" s="274"/>
      <c r="AT34" s="274"/>
      <c r="AU34" s="274"/>
      <c r="AV34" s="274"/>
      <c r="AW34" s="274"/>
      <c r="AX34" s="274"/>
      <c r="AY34" s="274"/>
      <c r="AZ34" s="274"/>
      <c r="BA34" s="274"/>
      <c r="BB34" s="274"/>
      <c r="BC34" s="274"/>
      <c r="BD34" s="274"/>
      <c r="BE34" s="274"/>
      <c r="BF34" s="274"/>
      <c r="BG34" s="274"/>
      <c r="BH34" s="274"/>
      <c r="BI34" s="274"/>
      <c r="BJ34" s="274"/>
      <c r="BK34" s="274"/>
      <c r="BL34" s="274"/>
      <c r="BM34" s="274"/>
      <c r="BN34" s="274"/>
      <c r="BO34" s="274"/>
      <c r="BP34" s="274"/>
      <c r="BQ34" s="274"/>
      <c r="BR34" s="274"/>
      <c r="BS34" s="274"/>
      <c r="BT34" s="274"/>
      <c r="BU34" s="274"/>
      <c r="BV34" s="274"/>
      <c r="BW34" s="274"/>
      <c r="BX34" s="274"/>
      <c r="BY34" s="274"/>
      <c r="BZ34" s="274"/>
      <c r="CA34" s="274"/>
      <c r="CB34" s="274"/>
      <c r="CC34" s="274"/>
      <c r="CD34" s="274"/>
      <c r="CE34" s="274"/>
      <c r="CF34" s="274"/>
      <c r="CG34" s="274"/>
      <c r="CH34" s="274"/>
      <c r="CI34" s="274"/>
      <c r="CJ34" s="274"/>
      <c r="CK34" s="274"/>
      <c r="CL34" s="274"/>
      <c r="CM34" s="274"/>
      <c r="CN34" s="274"/>
      <c r="CO34" s="274"/>
      <c r="CP34" s="274"/>
      <c r="CQ34" s="274"/>
      <c r="CR34" s="274"/>
      <c r="CS34" s="274"/>
      <c r="CT34" s="274"/>
      <c r="CU34" s="274"/>
      <c r="CV34" s="274"/>
      <c r="CW34" s="274"/>
      <c r="CX34" s="274"/>
      <c r="CY34" s="274"/>
      <c r="CZ34" s="274"/>
      <c r="DA34" s="274"/>
      <c r="DB34" s="274"/>
      <c r="DC34" s="274"/>
      <c r="DD34" s="274"/>
      <c r="DE34" s="274"/>
      <c r="DF34" s="274"/>
      <c r="DG34" s="274"/>
      <c r="DH34" s="274"/>
      <c r="DI34" s="274"/>
      <c r="DJ34" s="274"/>
      <c r="DK34" s="274"/>
      <c r="DL34" s="274"/>
      <c r="DM34" s="274"/>
      <c r="DN34" s="274"/>
      <c r="DO34" s="274"/>
      <c r="DP34" s="274"/>
      <c r="DQ34" s="274"/>
      <c r="DR34" s="274"/>
      <c r="DS34" s="274"/>
      <c r="DT34" s="274"/>
      <c r="DU34" s="274"/>
      <c r="DV34" s="274"/>
      <c r="DW34" s="274"/>
      <c r="DX34" s="274"/>
      <c r="DY34" s="274"/>
      <c r="DZ34" s="274"/>
      <c r="EA34" s="274"/>
      <c r="EB34" s="274"/>
      <c r="EC34" s="274"/>
      <c r="ED34" s="274"/>
      <c r="EE34" s="274"/>
      <c r="EF34" s="274"/>
      <c r="EG34" s="274"/>
      <c r="EH34" s="274"/>
      <c r="EI34" s="274"/>
      <c r="EJ34" s="274"/>
      <c r="EK34" s="274"/>
      <c r="EL34" s="274"/>
      <c r="EM34" s="274"/>
      <c r="EN34" s="274"/>
      <c r="EO34" s="274"/>
      <c r="EP34" s="274"/>
      <c r="EQ34" s="274"/>
      <c r="ER34" s="274"/>
      <c r="ES34" s="274"/>
      <c r="ET34" s="274"/>
      <c r="EU34" s="274"/>
      <c r="EV34" s="274"/>
      <c r="EW34" s="274"/>
      <c r="EX34" s="274"/>
      <c r="EY34" s="274"/>
      <c r="EZ34" s="274"/>
      <c r="FA34" s="274"/>
      <c r="FB34" s="274"/>
      <c r="FC34" s="274"/>
      <c r="FD34" s="274"/>
      <c r="FE34" s="274"/>
      <c r="FF34" s="274"/>
      <c r="FG34" s="274"/>
      <c r="FH34" s="274"/>
      <c r="FI34" s="274"/>
      <c r="FJ34" s="274"/>
      <c r="FK34" s="274"/>
      <c r="FL34" s="274"/>
      <c r="FM34" s="274"/>
      <c r="FN34" s="274"/>
      <c r="FO34" s="274"/>
      <c r="FP34" s="274"/>
      <c r="FQ34" s="274"/>
      <c r="FR34" s="274"/>
      <c r="FS34" s="274"/>
      <c r="FT34" s="274"/>
      <c r="FU34" s="274"/>
      <c r="FV34" s="274"/>
      <c r="FW34" s="274"/>
      <c r="FX34" s="274"/>
      <c r="FY34" s="274"/>
      <c r="FZ34" s="274"/>
      <c r="GA34" s="274"/>
      <c r="GB34" s="274"/>
      <c r="GC34" s="274"/>
      <c r="GD34" s="274"/>
      <c r="GE34" s="274"/>
      <c r="GF34" s="274"/>
      <c r="GG34" s="274"/>
      <c r="GH34" s="274"/>
      <c r="GI34" s="274"/>
      <c r="GJ34" s="274"/>
      <c r="GK34" s="274"/>
      <c r="GL34" s="274"/>
      <c r="GM34" s="274"/>
      <c r="GN34" s="274"/>
      <c r="GO34" s="274"/>
      <c r="GP34" s="274"/>
      <c r="GQ34" s="274"/>
      <c r="GR34" s="274"/>
      <c r="GS34" s="274"/>
      <c r="GT34" s="274"/>
      <c r="GU34" s="274"/>
      <c r="GV34" s="274"/>
      <c r="GW34" s="274"/>
      <c r="GX34" s="274"/>
      <c r="GY34" s="274"/>
      <c r="GZ34" s="274"/>
      <c r="HA34" s="274"/>
      <c r="HB34" s="274"/>
      <c r="HC34" s="274"/>
      <c r="HD34" s="274"/>
      <c r="HE34" s="274"/>
      <c r="HF34" s="274"/>
      <c r="HG34" s="274"/>
      <c r="HH34" s="274"/>
      <c r="HI34" s="274"/>
      <c r="HJ34" s="274"/>
    </row>
    <row r="35" spans="1:218" ht="12.75">
      <c r="A35" s="87"/>
      <c r="B35" s="279" t="s">
        <v>206</v>
      </c>
      <c r="C35" s="33"/>
      <c r="D35" s="33"/>
      <c r="E35" s="33"/>
      <c r="F35" s="33"/>
      <c r="G35" s="33"/>
      <c r="H35" s="33"/>
      <c r="I35" s="33"/>
      <c r="J35" s="62"/>
      <c r="K35" s="63"/>
      <c r="L35" s="63"/>
      <c r="M35" s="87"/>
      <c r="N35" s="319"/>
      <c r="O35" s="315"/>
      <c r="P35" s="315"/>
      <c r="Q35" s="315"/>
      <c r="R35" s="331"/>
      <c r="S35" s="315"/>
      <c r="T35" s="315"/>
      <c r="U35" s="315"/>
      <c r="V35" s="315"/>
      <c r="W35" s="315"/>
      <c r="X35" s="315"/>
      <c r="Y35" s="315"/>
      <c r="Z35" s="274"/>
      <c r="AA35" s="274"/>
      <c r="AB35" s="274"/>
      <c r="AC35" s="274"/>
      <c r="AD35" s="274"/>
      <c r="AE35" s="274"/>
      <c r="AF35" s="274"/>
      <c r="AG35" s="274"/>
      <c r="AH35" s="274"/>
      <c r="AI35" s="274"/>
      <c r="AJ35" s="274"/>
      <c r="AK35" s="274"/>
      <c r="AL35" s="274"/>
      <c r="AM35" s="274"/>
      <c r="AN35" s="274"/>
      <c r="AO35" s="274"/>
      <c r="AP35" s="274"/>
      <c r="AQ35" s="274"/>
      <c r="AR35" s="274"/>
      <c r="AS35" s="274"/>
      <c r="AT35" s="274"/>
      <c r="AU35" s="274"/>
      <c r="AV35" s="274"/>
      <c r="AW35" s="274"/>
      <c r="AX35" s="274"/>
      <c r="AY35" s="274"/>
      <c r="AZ35" s="274"/>
      <c r="BA35" s="274"/>
      <c r="BB35" s="274"/>
      <c r="BC35" s="274"/>
      <c r="BD35" s="274"/>
      <c r="BE35" s="274"/>
      <c r="BF35" s="274"/>
      <c r="BG35" s="274"/>
      <c r="BH35" s="274"/>
      <c r="BI35" s="274"/>
      <c r="BJ35" s="274"/>
      <c r="BK35" s="274"/>
      <c r="BL35" s="274"/>
      <c r="BM35" s="274"/>
      <c r="BN35" s="274"/>
      <c r="BO35" s="274"/>
      <c r="BP35" s="274"/>
      <c r="BQ35" s="274"/>
      <c r="BR35" s="274"/>
      <c r="BS35" s="274"/>
      <c r="BT35" s="274"/>
      <c r="BU35" s="274"/>
      <c r="BV35" s="274"/>
      <c r="BW35" s="274"/>
      <c r="BX35" s="274"/>
      <c r="BY35" s="274"/>
      <c r="BZ35" s="274"/>
      <c r="CA35" s="274"/>
      <c r="CB35" s="274"/>
      <c r="CC35" s="274"/>
      <c r="CD35" s="274"/>
      <c r="CE35" s="274"/>
      <c r="CF35" s="274"/>
      <c r="CG35" s="274"/>
      <c r="CH35" s="274"/>
      <c r="CI35" s="274"/>
      <c r="CJ35" s="274"/>
      <c r="CK35" s="274"/>
      <c r="CL35" s="274"/>
      <c r="CM35" s="274"/>
      <c r="CN35" s="274"/>
      <c r="CO35" s="274"/>
      <c r="CP35" s="274"/>
      <c r="CQ35" s="274"/>
      <c r="CR35" s="274"/>
      <c r="CS35" s="274"/>
      <c r="CT35" s="274"/>
      <c r="CU35" s="274"/>
      <c r="CV35" s="274"/>
      <c r="CW35" s="274"/>
      <c r="CX35" s="274"/>
      <c r="CY35" s="274"/>
      <c r="CZ35" s="274"/>
      <c r="DA35" s="274"/>
      <c r="DB35" s="274"/>
      <c r="DC35" s="274"/>
      <c r="DD35" s="274"/>
      <c r="DE35" s="274"/>
      <c r="DF35" s="274"/>
      <c r="DG35" s="274"/>
      <c r="DH35" s="274"/>
      <c r="DI35" s="274"/>
      <c r="DJ35" s="274"/>
      <c r="DK35" s="274"/>
      <c r="DL35" s="274"/>
      <c r="DM35" s="274"/>
      <c r="DN35" s="274"/>
      <c r="DO35" s="274"/>
      <c r="DP35" s="274"/>
      <c r="DQ35" s="274"/>
      <c r="DR35" s="274"/>
      <c r="DS35" s="274"/>
      <c r="DT35" s="274"/>
      <c r="DU35" s="274"/>
      <c r="DV35" s="274"/>
      <c r="DW35" s="274"/>
      <c r="DX35" s="274"/>
      <c r="DY35" s="274"/>
      <c r="DZ35" s="274"/>
      <c r="EA35" s="274"/>
      <c r="EB35" s="274"/>
      <c r="EC35" s="274"/>
      <c r="ED35" s="274"/>
      <c r="EE35" s="274"/>
      <c r="EF35" s="274"/>
      <c r="EG35" s="274"/>
      <c r="EH35" s="274"/>
      <c r="EI35" s="274"/>
      <c r="EJ35" s="274"/>
      <c r="EK35" s="274"/>
      <c r="EL35" s="274"/>
      <c r="EM35" s="274"/>
      <c r="EN35" s="274"/>
      <c r="EO35" s="274"/>
      <c r="EP35" s="274"/>
      <c r="EQ35" s="274"/>
      <c r="ER35" s="274"/>
      <c r="ES35" s="274"/>
      <c r="ET35" s="274"/>
      <c r="EU35" s="274"/>
      <c r="EV35" s="274"/>
      <c r="EW35" s="274"/>
      <c r="EX35" s="274"/>
      <c r="EY35" s="274"/>
      <c r="EZ35" s="274"/>
      <c r="FA35" s="274"/>
      <c r="FB35" s="274"/>
      <c r="FC35" s="274"/>
      <c r="FD35" s="274"/>
      <c r="FE35" s="274"/>
      <c r="FF35" s="274"/>
      <c r="FG35" s="274"/>
      <c r="FH35" s="274"/>
      <c r="FI35" s="274"/>
      <c r="FJ35" s="274"/>
      <c r="FK35" s="274"/>
      <c r="FL35" s="274"/>
      <c r="FM35" s="274"/>
      <c r="FN35" s="274"/>
      <c r="FO35" s="274"/>
      <c r="FP35" s="274"/>
      <c r="FQ35" s="274"/>
      <c r="FR35" s="274"/>
      <c r="FS35" s="274"/>
      <c r="FT35" s="274"/>
      <c r="FU35" s="274"/>
      <c r="FV35" s="274"/>
      <c r="FW35" s="274"/>
      <c r="FX35" s="274"/>
      <c r="FY35" s="274"/>
      <c r="FZ35" s="274"/>
      <c r="GA35" s="274"/>
      <c r="GB35" s="274"/>
      <c r="GC35" s="274"/>
      <c r="GD35" s="274"/>
      <c r="GE35" s="274"/>
      <c r="GF35" s="274"/>
      <c r="GG35" s="274"/>
      <c r="GH35" s="274"/>
      <c r="GI35" s="274"/>
      <c r="GJ35" s="274"/>
      <c r="GK35" s="274"/>
      <c r="GL35" s="274"/>
      <c r="GM35" s="274"/>
      <c r="GN35" s="274"/>
      <c r="GO35" s="274"/>
      <c r="GP35" s="274"/>
      <c r="GQ35" s="274"/>
      <c r="GR35" s="274"/>
      <c r="GS35" s="274"/>
      <c r="GT35" s="274"/>
      <c r="GU35" s="274"/>
      <c r="GV35" s="274"/>
      <c r="GW35" s="274"/>
      <c r="GX35" s="274"/>
      <c r="GY35" s="274"/>
      <c r="GZ35" s="274"/>
      <c r="HA35" s="274"/>
      <c r="HB35" s="274"/>
      <c r="HC35" s="274"/>
      <c r="HD35" s="274"/>
      <c r="HE35" s="274"/>
      <c r="HF35" s="274"/>
      <c r="HG35" s="274"/>
      <c r="HH35" s="274"/>
      <c r="HI35" s="274"/>
      <c r="HJ35" s="274"/>
    </row>
    <row r="36" spans="1:218" ht="12" customHeight="1">
      <c r="A36" s="87"/>
      <c r="B36" s="153"/>
      <c r="C36" s="153"/>
      <c r="D36" s="153"/>
      <c r="E36" s="153"/>
      <c r="F36" s="153"/>
      <c r="G36" s="153"/>
      <c r="H36" s="153"/>
      <c r="I36" s="153"/>
      <c r="J36" s="153"/>
      <c r="K36" s="63"/>
      <c r="L36" s="63"/>
      <c r="M36" s="87"/>
      <c r="N36" s="332"/>
      <c r="Q36" s="315"/>
      <c r="R36" s="331"/>
      <c r="S36" s="315"/>
      <c r="T36" s="315"/>
    </row>
    <row r="37" spans="1:218" ht="12" customHeight="1">
      <c r="A37" s="87"/>
      <c r="B37" s="153"/>
      <c r="C37" s="153"/>
      <c r="D37" s="153"/>
      <c r="E37" s="153"/>
      <c r="F37" s="153"/>
      <c r="G37" s="153"/>
      <c r="H37" s="153"/>
      <c r="I37" s="153"/>
      <c r="J37" s="153"/>
      <c r="K37" s="63"/>
      <c r="L37" s="63"/>
      <c r="M37" s="87"/>
      <c r="N37" s="332"/>
      <c r="Q37" s="315"/>
      <c r="R37" s="331"/>
      <c r="S37" s="315"/>
      <c r="T37" s="315"/>
    </row>
    <row r="38" spans="1:218" ht="12.75">
      <c r="A38" s="87"/>
      <c r="B38" s="153"/>
      <c r="C38" s="33"/>
      <c r="D38" s="33"/>
      <c r="E38" s="33"/>
      <c r="F38" s="33"/>
      <c r="G38" s="33"/>
      <c r="H38" s="33"/>
      <c r="I38" s="33"/>
      <c r="J38" s="62"/>
      <c r="K38" s="63"/>
      <c r="L38" s="63"/>
      <c r="M38" s="87"/>
      <c r="N38" s="319"/>
      <c r="O38" s="315"/>
      <c r="P38" s="315"/>
      <c r="Q38" s="315"/>
      <c r="R38" s="331"/>
      <c r="S38" s="315"/>
      <c r="T38" s="315"/>
      <c r="U38" s="315"/>
      <c r="V38" s="315"/>
      <c r="W38" s="315"/>
      <c r="X38" s="315"/>
      <c r="Y38" s="315"/>
      <c r="Z38" s="274"/>
      <c r="AA38" s="274"/>
      <c r="AB38" s="274"/>
      <c r="AC38" s="274"/>
      <c r="AD38" s="274"/>
      <c r="AE38" s="274"/>
      <c r="AF38" s="274"/>
      <c r="AG38" s="274"/>
      <c r="AH38" s="274"/>
      <c r="AI38" s="274"/>
      <c r="AJ38" s="274"/>
      <c r="AK38" s="274"/>
      <c r="AL38" s="274"/>
      <c r="AM38" s="274"/>
      <c r="AN38" s="274"/>
      <c r="AO38" s="274"/>
      <c r="AP38" s="274"/>
      <c r="AQ38" s="274"/>
      <c r="AR38" s="274"/>
      <c r="AS38" s="274"/>
      <c r="AT38" s="274"/>
      <c r="AU38" s="274"/>
      <c r="AV38" s="274"/>
      <c r="AW38" s="274"/>
      <c r="AX38" s="274"/>
      <c r="AY38" s="274"/>
      <c r="AZ38" s="274"/>
      <c r="BA38" s="274"/>
      <c r="BB38" s="274"/>
      <c r="BC38" s="274"/>
      <c r="BD38" s="274"/>
      <c r="BE38" s="274"/>
      <c r="BF38" s="274"/>
      <c r="BG38" s="274"/>
      <c r="BH38" s="274"/>
      <c r="BI38" s="274"/>
      <c r="BJ38" s="274"/>
      <c r="BK38" s="274"/>
      <c r="BL38" s="274"/>
      <c r="BM38" s="274"/>
      <c r="BN38" s="274"/>
      <c r="BO38" s="274"/>
      <c r="BP38" s="274"/>
      <c r="BQ38" s="274"/>
      <c r="BR38" s="274"/>
      <c r="BS38" s="274"/>
      <c r="BT38" s="274"/>
      <c r="BU38" s="274"/>
      <c r="BV38" s="274"/>
      <c r="BW38" s="274"/>
      <c r="BX38" s="274"/>
      <c r="BY38" s="274"/>
      <c r="BZ38" s="274"/>
      <c r="CA38" s="274"/>
      <c r="CB38" s="274"/>
      <c r="CC38" s="274"/>
      <c r="CD38" s="274"/>
      <c r="CE38" s="274"/>
      <c r="CF38" s="274"/>
      <c r="CG38" s="274"/>
      <c r="CH38" s="274"/>
      <c r="CI38" s="274"/>
      <c r="CJ38" s="274"/>
      <c r="CK38" s="274"/>
      <c r="CL38" s="274"/>
      <c r="CM38" s="274"/>
      <c r="CN38" s="274"/>
      <c r="CO38" s="274"/>
      <c r="CP38" s="274"/>
      <c r="CQ38" s="274"/>
      <c r="CR38" s="274"/>
      <c r="CS38" s="274"/>
      <c r="CT38" s="274"/>
      <c r="CU38" s="274"/>
      <c r="CV38" s="274"/>
      <c r="CW38" s="274"/>
      <c r="CX38" s="274"/>
      <c r="CY38" s="274"/>
      <c r="CZ38" s="274"/>
      <c r="DA38" s="274"/>
      <c r="DB38" s="274"/>
      <c r="DC38" s="274"/>
      <c r="DD38" s="274"/>
      <c r="DE38" s="274"/>
      <c r="DF38" s="274"/>
      <c r="DG38" s="274"/>
      <c r="DH38" s="274"/>
      <c r="DI38" s="274"/>
      <c r="DJ38" s="274"/>
      <c r="DK38" s="274"/>
      <c r="DL38" s="274"/>
      <c r="DM38" s="274"/>
      <c r="DN38" s="274"/>
      <c r="DO38" s="274"/>
      <c r="DP38" s="274"/>
      <c r="DQ38" s="274"/>
      <c r="DR38" s="274"/>
      <c r="DS38" s="274"/>
      <c r="DT38" s="274"/>
      <c r="DU38" s="274"/>
      <c r="DV38" s="274"/>
      <c r="DW38" s="274"/>
      <c r="DX38" s="274"/>
      <c r="DY38" s="274"/>
      <c r="DZ38" s="274"/>
      <c r="EA38" s="274"/>
      <c r="EB38" s="274"/>
      <c r="EC38" s="274"/>
      <c r="ED38" s="274"/>
      <c r="EE38" s="274"/>
      <c r="EF38" s="274"/>
      <c r="EG38" s="274"/>
      <c r="EH38" s="274"/>
      <c r="EI38" s="274"/>
      <c r="EJ38" s="274"/>
      <c r="EK38" s="274"/>
      <c r="EL38" s="274"/>
      <c r="EM38" s="274"/>
      <c r="EN38" s="274"/>
      <c r="EO38" s="274"/>
      <c r="EP38" s="274"/>
      <c r="EQ38" s="274"/>
      <c r="ER38" s="274"/>
      <c r="ES38" s="274"/>
      <c r="ET38" s="274"/>
      <c r="EU38" s="274"/>
      <c r="EV38" s="274"/>
      <c r="EW38" s="274"/>
      <c r="EX38" s="274"/>
      <c r="EY38" s="274"/>
      <c r="EZ38" s="274"/>
      <c r="FA38" s="274"/>
      <c r="FB38" s="274"/>
      <c r="FC38" s="274"/>
      <c r="FD38" s="274"/>
      <c r="FE38" s="274"/>
      <c r="FF38" s="274"/>
      <c r="FG38" s="274"/>
      <c r="FH38" s="274"/>
      <c r="FI38" s="274"/>
      <c r="FJ38" s="274"/>
      <c r="FK38" s="274"/>
      <c r="FL38" s="274"/>
      <c r="FM38" s="274"/>
      <c r="FN38" s="274"/>
      <c r="FO38" s="274"/>
      <c r="FP38" s="274"/>
      <c r="FQ38" s="274"/>
      <c r="FR38" s="274"/>
      <c r="FS38" s="274"/>
      <c r="FT38" s="274"/>
      <c r="FU38" s="274"/>
      <c r="FV38" s="274"/>
      <c r="FW38" s="274"/>
      <c r="FX38" s="274"/>
      <c r="FY38" s="274"/>
      <c r="FZ38" s="274"/>
      <c r="GA38" s="274"/>
      <c r="GB38" s="274"/>
      <c r="GC38" s="274"/>
      <c r="GD38" s="274"/>
      <c r="GE38" s="274"/>
      <c r="GF38" s="274"/>
      <c r="GG38" s="274"/>
      <c r="GH38" s="274"/>
      <c r="GI38" s="274"/>
      <c r="GJ38" s="274"/>
      <c r="GK38" s="274"/>
      <c r="GL38" s="274"/>
      <c r="GM38" s="274"/>
      <c r="GN38" s="274"/>
      <c r="GO38" s="274"/>
      <c r="GP38" s="274"/>
      <c r="GQ38" s="274"/>
      <c r="GR38" s="274"/>
      <c r="GS38" s="274"/>
      <c r="GT38" s="274"/>
      <c r="GU38" s="274"/>
      <c r="GV38" s="274"/>
      <c r="GW38" s="274"/>
      <c r="GX38" s="274"/>
      <c r="GY38" s="274"/>
      <c r="GZ38" s="274"/>
      <c r="HA38" s="274"/>
      <c r="HB38" s="274"/>
      <c r="HC38" s="274"/>
      <c r="HD38" s="274"/>
      <c r="HE38" s="274"/>
      <c r="HF38" s="274"/>
      <c r="HG38" s="274"/>
      <c r="HH38" s="274"/>
      <c r="HI38" s="274"/>
      <c r="HJ38" s="274"/>
    </row>
    <row r="39" spans="1:218" ht="12.75">
      <c r="A39" s="87"/>
      <c r="B39" s="153"/>
      <c r="C39" s="33"/>
      <c r="D39" s="33"/>
      <c r="E39" s="33"/>
      <c r="F39" s="33"/>
      <c r="G39" s="33"/>
      <c r="H39" s="33"/>
      <c r="I39" s="33"/>
      <c r="J39" s="62"/>
      <c r="K39" s="63"/>
      <c r="L39" s="63"/>
      <c r="M39" s="87"/>
      <c r="N39" s="319"/>
      <c r="O39" s="315"/>
      <c r="P39" s="315"/>
      <c r="Q39" s="315"/>
      <c r="R39" s="331"/>
      <c r="S39" s="315"/>
      <c r="T39" s="315"/>
      <c r="U39" s="315"/>
      <c r="V39" s="315"/>
      <c r="W39" s="315"/>
      <c r="X39" s="315"/>
      <c r="Y39" s="315"/>
      <c r="Z39" s="274"/>
      <c r="AA39" s="274"/>
      <c r="AB39" s="274"/>
      <c r="AC39" s="274"/>
      <c r="AD39" s="274"/>
      <c r="AE39" s="274"/>
      <c r="AF39" s="274"/>
      <c r="AG39" s="274"/>
      <c r="AH39" s="274"/>
      <c r="AI39" s="274"/>
      <c r="AJ39" s="274"/>
      <c r="AK39" s="274"/>
      <c r="AL39" s="274"/>
      <c r="AM39" s="274"/>
      <c r="AN39" s="274"/>
      <c r="AO39" s="274"/>
      <c r="AP39" s="274"/>
      <c r="AQ39" s="274"/>
      <c r="AR39" s="274"/>
      <c r="AS39" s="274"/>
      <c r="AT39" s="274"/>
      <c r="AU39" s="274"/>
      <c r="AV39" s="274"/>
      <c r="AW39" s="274"/>
      <c r="AX39" s="274"/>
      <c r="AY39" s="274"/>
      <c r="AZ39" s="274"/>
      <c r="BA39" s="274"/>
      <c r="BB39" s="274"/>
      <c r="BC39" s="274"/>
      <c r="BD39" s="274"/>
      <c r="BE39" s="274"/>
      <c r="BF39" s="274"/>
      <c r="BG39" s="274"/>
      <c r="BH39" s="274"/>
      <c r="BI39" s="274"/>
      <c r="BJ39" s="274"/>
      <c r="BK39" s="274"/>
      <c r="BL39" s="274"/>
      <c r="BM39" s="274"/>
      <c r="BN39" s="274"/>
      <c r="BO39" s="274"/>
      <c r="BP39" s="274"/>
      <c r="BQ39" s="274"/>
      <c r="BR39" s="274"/>
      <c r="BS39" s="274"/>
      <c r="BT39" s="274"/>
      <c r="BU39" s="274"/>
      <c r="BV39" s="274"/>
      <c r="BW39" s="274"/>
      <c r="BX39" s="274"/>
      <c r="BY39" s="274"/>
      <c r="BZ39" s="274"/>
      <c r="CA39" s="274"/>
      <c r="CB39" s="274"/>
      <c r="CC39" s="274"/>
      <c r="CD39" s="274"/>
      <c r="CE39" s="274"/>
      <c r="CF39" s="274"/>
      <c r="CG39" s="274"/>
      <c r="CH39" s="274"/>
      <c r="CI39" s="274"/>
      <c r="CJ39" s="274"/>
      <c r="CK39" s="274"/>
      <c r="CL39" s="274"/>
      <c r="CM39" s="274"/>
      <c r="CN39" s="274"/>
      <c r="CO39" s="274"/>
      <c r="CP39" s="274"/>
      <c r="CQ39" s="274"/>
      <c r="CR39" s="274"/>
      <c r="CS39" s="274"/>
      <c r="CT39" s="274"/>
      <c r="CU39" s="274"/>
      <c r="CV39" s="274"/>
      <c r="CW39" s="274"/>
      <c r="CX39" s="274"/>
      <c r="CY39" s="274"/>
      <c r="CZ39" s="274"/>
      <c r="DA39" s="274"/>
      <c r="DB39" s="274"/>
      <c r="DC39" s="274"/>
      <c r="DD39" s="274"/>
      <c r="DE39" s="274"/>
      <c r="DF39" s="274"/>
      <c r="DG39" s="274"/>
      <c r="DH39" s="274"/>
      <c r="DI39" s="274"/>
      <c r="DJ39" s="274"/>
      <c r="DK39" s="274"/>
      <c r="DL39" s="274"/>
      <c r="DM39" s="274"/>
      <c r="DN39" s="274"/>
      <c r="DO39" s="274"/>
      <c r="DP39" s="274"/>
      <c r="DQ39" s="274"/>
      <c r="DR39" s="274"/>
      <c r="DS39" s="274"/>
      <c r="DT39" s="274"/>
      <c r="DU39" s="274"/>
      <c r="DV39" s="274"/>
      <c r="DW39" s="274"/>
      <c r="DX39" s="274"/>
      <c r="DY39" s="274"/>
      <c r="DZ39" s="274"/>
      <c r="EA39" s="274"/>
      <c r="EB39" s="274"/>
      <c r="EC39" s="274"/>
      <c r="ED39" s="274"/>
      <c r="EE39" s="274"/>
      <c r="EF39" s="274"/>
      <c r="EG39" s="274"/>
      <c r="EH39" s="274"/>
      <c r="EI39" s="274"/>
      <c r="EJ39" s="274"/>
      <c r="EK39" s="274"/>
      <c r="EL39" s="274"/>
      <c r="EM39" s="274"/>
      <c r="EN39" s="274"/>
      <c r="EO39" s="274"/>
      <c r="EP39" s="274"/>
      <c r="EQ39" s="274"/>
      <c r="ER39" s="274"/>
      <c r="ES39" s="274"/>
      <c r="ET39" s="274"/>
      <c r="EU39" s="274"/>
      <c r="EV39" s="274"/>
      <c r="EW39" s="274"/>
      <c r="EX39" s="274"/>
      <c r="EY39" s="274"/>
      <c r="EZ39" s="274"/>
      <c r="FA39" s="274"/>
      <c r="FB39" s="274"/>
      <c r="FC39" s="274"/>
      <c r="FD39" s="274"/>
      <c r="FE39" s="274"/>
      <c r="FF39" s="274"/>
      <c r="FG39" s="274"/>
      <c r="FH39" s="274"/>
      <c r="FI39" s="274"/>
      <c r="FJ39" s="274"/>
      <c r="FK39" s="274"/>
      <c r="FL39" s="274"/>
      <c r="FM39" s="274"/>
      <c r="FN39" s="274"/>
      <c r="FO39" s="274"/>
      <c r="FP39" s="274"/>
      <c r="FQ39" s="274"/>
      <c r="FR39" s="274"/>
      <c r="FS39" s="274"/>
      <c r="FT39" s="274"/>
      <c r="FU39" s="274"/>
      <c r="FV39" s="274"/>
      <c r="FW39" s="274"/>
      <c r="FX39" s="274"/>
      <c r="FY39" s="274"/>
      <c r="FZ39" s="274"/>
      <c r="GA39" s="274"/>
      <c r="GB39" s="274"/>
      <c r="GC39" s="274"/>
      <c r="GD39" s="274"/>
      <c r="GE39" s="274"/>
      <c r="GF39" s="274"/>
      <c r="GG39" s="274"/>
      <c r="GH39" s="274"/>
      <c r="GI39" s="274"/>
      <c r="GJ39" s="274"/>
      <c r="GK39" s="274"/>
      <c r="GL39" s="274"/>
      <c r="GM39" s="274"/>
      <c r="GN39" s="274"/>
      <c r="GO39" s="274"/>
      <c r="GP39" s="274"/>
      <c r="GQ39" s="274"/>
      <c r="GR39" s="274"/>
      <c r="GS39" s="274"/>
      <c r="GT39" s="274"/>
      <c r="GU39" s="274"/>
      <c r="GV39" s="274"/>
      <c r="GW39" s="274"/>
      <c r="GX39" s="274"/>
      <c r="GY39" s="274"/>
      <c r="GZ39" s="274"/>
      <c r="HA39" s="274"/>
      <c r="HB39" s="274"/>
      <c r="HC39" s="274"/>
      <c r="HD39" s="274"/>
      <c r="HE39" s="274"/>
      <c r="HF39" s="274"/>
      <c r="HG39" s="274"/>
      <c r="HH39" s="274"/>
      <c r="HI39" s="274"/>
      <c r="HJ39" s="274"/>
    </row>
    <row r="40" spans="1:218" ht="12.75">
      <c r="A40" s="87"/>
      <c r="B40" s="153"/>
      <c r="C40" s="33"/>
      <c r="D40" s="33"/>
      <c r="E40" s="33"/>
      <c r="F40" s="33"/>
      <c r="G40" s="33"/>
      <c r="H40" s="33"/>
      <c r="I40" s="33"/>
      <c r="J40" s="62"/>
      <c r="K40" s="63"/>
      <c r="L40" s="63"/>
      <c r="M40" s="87"/>
      <c r="N40" s="319"/>
      <c r="O40" s="315"/>
      <c r="P40" s="315"/>
      <c r="U40" s="315"/>
      <c r="V40" s="315"/>
      <c r="W40" s="315"/>
      <c r="X40" s="315"/>
      <c r="Y40" s="315"/>
      <c r="Z40" s="274"/>
      <c r="AA40" s="274"/>
      <c r="AB40" s="274"/>
      <c r="AC40" s="274"/>
      <c r="AD40" s="274"/>
      <c r="AE40" s="274"/>
      <c r="AF40" s="274"/>
      <c r="AG40" s="274"/>
      <c r="AH40" s="274"/>
      <c r="AI40" s="274"/>
      <c r="AJ40" s="274"/>
      <c r="AK40" s="274"/>
      <c r="AL40" s="274"/>
      <c r="AM40" s="274"/>
      <c r="AN40" s="274"/>
      <c r="AO40" s="274"/>
      <c r="AP40" s="274"/>
      <c r="AQ40" s="274"/>
      <c r="AR40" s="274"/>
      <c r="AS40" s="274"/>
      <c r="AT40" s="274"/>
      <c r="AU40" s="274"/>
      <c r="AV40" s="274"/>
      <c r="AW40" s="274"/>
      <c r="AX40" s="274"/>
      <c r="AY40" s="274"/>
      <c r="AZ40" s="274"/>
      <c r="BA40" s="274"/>
      <c r="BB40" s="274"/>
      <c r="BC40" s="274"/>
      <c r="BD40" s="274"/>
      <c r="BE40" s="274"/>
      <c r="BF40" s="274"/>
      <c r="BG40" s="274"/>
      <c r="BH40" s="274"/>
      <c r="BI40" s="274"/>
      <c r="BJ40" s="274"/>
      <c r="BK40" s="274"/>
      <c r="BL40" s="274"/>
      <c r="BM40" s="274"/>
      <c r="BN40" s="274"/>
      <c r="BO40" s="274"/>
      <c r="BP40" s="274"/>
      <c r="BQ40" s="274"/>
      <c r="BR40" s="274"/>
      <c r="BS40" s="274"/>
      <c r="BT40" s="274"/>
      <c r="BU40" s="274"/>
      <c r="BV40" s="274"/>
      <c r="BW40" s="274"/>
      <c r="BX40" s="274"/>
      <c r="BY40" s="274"/>
      <c r="BZ40" s="274"/>
      <c r="CA40" s="274"/>
      <c r="CB40" s="274"/>
      <c r="CC40" s="274"/>
      <c r="CD40" s="274"/>
      <c r="CE40" s="274"/>
      <c r="CF40" s="274"/>
      <c r="CG40" s="274"/>
      <c r="CH40" s="274"/>
      <c r="CI40" s="274"/>
      <c r="CJ40" s="274"/>
      <c r="CK40" s="274"/>
      <c r="CL40" s="274"/>
      <c r="CM40" s="274"/>
      <c r="CN40" s="274"/>
      <c r="CO40" s="274"/>
      <c r="CP40" s="274"/>
      <c r="CQ40" s="274"/>
      <c r="CR40" s="274"/>
      <c r="CS40" s="274"/>
      <c r="CT40" s="274"/>
      <c r="CU40" s="274"/>
      <c r="CV40" s="274"/>
      <c r="CW40" s="274"/>
      <c r="CX40" s="274"/>
      <c r="CY40" s="274"/>
      <c r="CZ40" s="274"/>
      <c r="DA40" s="274"/>
      <c r="DB40" s="274"/>
      <c r="DC40" s="274"/>
      <c r="DD40" s="274"/>
      <c r="DE40" s="274"/>
      <c r="DF40" s="274"/>
      <c r="DG40" s="274"/>
      <c r="DH40" s="274"/>
      <c r="DI40" s="274"/>
      <c r="DJ40" s="274"/>
      <c r="DK40" s="274"/>
      <c r="DL40" s="274"/>
      <c r="DM40" s="274"/>
      <c r="DN40" s="274"/>
      <c r="DO40" s="274"/>
      <c r="DP40" s="274"/>
      <c r="DQ40" s="274"/>
      <c r="DR40" s="274"/>
      <c r="DS40" s="274"/>
      <c r="DT40" s="274"/>
      <c r="DU40" s="274"/>
      <c r="DV40" s="274"/>
      <c r="DW40" s="274"/>
      <c r="DX40" s="274"/>
      <c r="DY40" s="274"/>
      <c r="DZ40" s="274"/>
      <c r="EA40" s="274"/>
      <c r="EB40" s="274"/>
      <c r="EC40" s="274"/>
      <c r="ED40" s="274"/>
      <c r="EE40" s="274"/>
      <c r="EF40" s="274"/>
      <c r="EG40" s="274"/>
      <c r="EH40" s="274"/>
      <c r="EI40" s="274"/>
      <c r="EJ40" s="274"/>
      <c r="EK40" s="274"/>
      <c r="EL40" s="274"/>
      <c r="EM40" s="274"/>
      <c r="EN40" s="274"/>
      <c r="EO40" s="274"/>
      <c r="EP40" s="274"/>
      <c r="EQ40" s="274"/>
      <c r="ER40" s="274"/>
      <c r="ES40" s="274"/>
      <c r="ET40" s="274"/>
      <c r="EU40" s="274"/>
      <c r="EV40" s="274"/>
      <c r="EW40" s="274"/>
      <c r="EX40" s="274"/>
      <c r="EY40" s="274"/>
      <c r="EZ40" s="274"/>
      <c r="FA40" s="274"/>
      <c r="FB40" s="274"/>
      <c r="FC40" s="274"/>
      <c r="FD40" s="274"/>
      <c r="FE40" s="274"/>
      <c r="FF40" s="274"/>
      <c r="FG40" s="274"/>
      <c r="FH40" s="274"/>
      <c r="FI40" s="274"/>
      <c r="FJ40" s="274"/>
      <c r="FK40" s="274"/>
      <c r="FL40" s="274"/>
      <c r="FM40" s="274"/>
      <c r="FN40" s="274"/>
      <c r="FO40" s="274"/>
      <c r="FP40" s="274"/>
      <c r="FQ40" s="274"/>
      <c r="FR40" s="274"/>
      <c r="FS40" s="274"/>
      <c r="FT40" s="274"/>
      <c r="FU40" s="274"/>
      <c r="FV40" s="274"/>
      <c r="FW40" s="274"/>
      <c r="FX40" s="274"/>
      <c r="FY40" s="274"/>
      <c r="FZ40" s="274"/>
      <c r="GA40" s="274"/>
      <c r="GB40" s="274"/>
      <c r="GC40" s="274"/>
      <c r="GD40" s="274"/>
      <c r="GE40" s="274"/>
      <c r="GF40" s="274"/>
      <c r="GG40" s="274"/>
      <c r="GH40" s="274"/>
      <c r="GI40" s="274"/>
      <c r="GJ40" s="274"/>
      <c r="GK40" s="274"/>
      <c r="GL40" s="274"/>
      <c r="GM40" s="274"/>
      <c r="GN40" s="274"/>
      <c r="GO40" s="274"/>
      <c r="GP40" s="274"/>
      <c r="GQ40" s="274"/>
      <c r="GR40" s="274"/>
      <c r="GS40" s="274"/>
      <c r="GT40" s="274"/>
      <c r="GU40" s="274"/>
      <c r="GV40" s="274"/>
      <c r="GW40" s="274"/>
      <c r="GX40" s="274"/>
      <c r="GY40" s="274"/>
      <c r="GZ40" s="274"/>
      <c r="HA40" s="274"/>
      <c r="HB40" s="274"/>
      <c r="HC40" s="274"/>
      <c r="HD40" s="274"/>
      <c r="HE40" s="274"/>
      <c r="HF40" s="274"/>
      <c r="HG40" s="274"/>
      <c r="HH40" s="274"/>
      <c r="HI40" s="274"/>
      <c r="HJ40" s="274"/>
    </row>
    <row r="41" spans="1:218" ht="12.75">
      <c r="A41" s="87"/>
      <c r="B41" s="153"/>
      <c r="C41" s="33"/>
      <c r="D41" s="33"/>
      <c r="E41" s="33"/>
      <c r="F41" s="33"/>
      <c r="G41" s="33"/>
      <c r="H41" s="33"/>
      <c r="I41" s="33"/>
      <c r="J41" s="62"/>
      <c r="K41" s="63"/>
      <c r="L41" s="63"/>
      <c r="M41" s="87"/>
      <c r="N41" s="319"/>
      <c r="O41" s="315"/>
      <c r="P41" s="315"/>
      <c r="U41" s="315"/>
      <c r="V41" s="315"/>
      <c r="W41" s="315"/>
      <c r="X41" s="315"/>
      <c r="Y41" s="315"/>
      <c r="Z41" s="274"/>
      <c r="AA41" s="274"/>
      <c r="AB41" s="274"/>
      <c r="AC41" s="274"/>
      <c r="AD41" s="274"/>
      <c r="AE41" s="274"/>
      <c r="AF41" s="274"/>
      <c r="AG41" s="274"/>
      <c r="AH41" s="274"/>
      <c r="AI41" s="274"/>
      <c r="AJ41" s="274"/>
      <c r="AK41" s="274"/>
      <c r="AL41" s="274"/>
      <c r="AM41" s="274"/>
      <c r="AN41" s="274"/>
      <c r="AO41" s="274"/>
      <c r="AP41" s="274"/>
      <c r="AQ41" s="274"/>
      <c r="AR41" s="274"/>
      <c r="AS41" s="274"/>
      <c r="AT41" s="274"/>
      <c r="AU41" s="274"/>
      <c r="AV41" s="274"/>
      <c r="AW41" s="274"/>
      <c r="AX41" s="274"/>
      <c r="AY41" s="274"/>
      <c r="AZ41" s="274"/>
      <c r="BA41" s="274"/>
      <c r="BB41" s="274"/>
      <c r="BC41" s="274"/>
      <c r="BD41" s="274"/>
      <c r="BE41" s="274"/>
      <c r="BF41" s="274"/>
      <c r="BG41" s="274"/>
      <c r="BH41" s="274"/>
      <c r="BI41" s="274"/>
      <c r="BJ41" s="274"/>
      <c r="BK41" s="274"/>
      <c r="BL41" s="274"/>
      <c r="BM41" s="274"/>
      <c r="BN41" s="274"/>
      <c r="BO41" s="274"/>
      <c r="BP41" s="274"/>
      <c r="BQ41" s="274"/>
      <c r="BR41" s="274"/>
      <c r="BS41" s="274"/>
      <c r="BT41" s="274"/>
      <c r="BU41" s="274"/>
      <c r="BV41" s="274"/>
      <c r="BW41" s="274"/>
      <c r="BX41" s="274"/>
      <c r="BY41" s="274"/>
      <c r="BZ41" s="274"/>
      <c r="CA41" s="274"/>
      <c r="CB41" s="274"/>
      <c r="CC41" s="274"/>
      <c r="CD41" s="274"/>
      <c r="CE41" s="274"/>
      <c r="CF41" s="274"/>
      <c r="CG41" s="274"/>
      <c r="CH41" s="274"/>
      <c r="CI41" s="274"/>
      <c r="CJ41" s="274"/>
      <c r="CK41" s="274"/>
      <c r="CL41" s="274"/>
      <c r="CM41" s="274"/>
      <c r="CN41" s="274"/>
      <c r="CO41" s="274"/>
      <c r="CP41" s="274"/>
      <c r="CQ41" s="274"/>
      <c r="CR41" s="274"/>
      <c r="CS41" s="274"/>
      <c r="CT41" s="274"/>
      <c r="CU41" s="274"/>
      <c r="CV41" s="274"/>
      <c r="CW41" s="274"/>
      <c r="CX41" s="274"/>
      <c r="CY41" s="274"/>
      <c r="CZ41" s="274"/>
      <c r="DA41" s="274"/>
      <c r="DB41" s="274"/>
      <c r="DC41" s="274"/>
      <c r="DD41" s="274"/>
      <c r="DE41" s="274"/>
      <c r="DF41" s="274"/>
      <c r="DG41" s="274"/>
      <c r="DH41" s="274"/>
      <c r="DI41" s="274"/>
      <c r="DJ41" s="274"/>
      <c r="DK41" s="274"/>
      <c r="DL41" s="274"/>
      <c r="DM41" s="274"/>
      <c r="DN41" s="274"/>
      <c r="DO41" s="274"/>
      <c r="DP41" s="274"/>
      <c r="DQ41" s="274"/>
      <c r="DR41" s="274"/>
      <c r="DS41" s="274"/>
      <c r="DT41" s="274"/>
      <c r="DU41" s="274"/>
      <c r="DV41" s="274"/>
      <c r="DW41" s="274"/>
      <c r="DX41" s="274"/>
      <c r="DY41" s="274"/>
      <c r="DZ41" s="274"/>
      <c r="EA41" s="274"/>
      <c r="EB41" s="274"/>
      <c r="EC41" s="274"/>
      <c r="ED41" s="274"/>
      <c r="EE41" s="274"/>
      <c r="EF41" s="274"/>
      <c r="EG41" s="274"/>
      <c r="EH41" s="274"/>
      <c r="EI41" s="274"/>
      <c r="EJ41" s="274"/>
      <c r="EK41" s="274"/>
      <c r="EL41" s="274"/>
      <c r="EM41" s="274"/>
      <c r="EN41" s="274"/>
      <c r="EO41" s="274"/>
      <c r="EP41" s="274"/>
      <c r="EQ41" s="274"/>
      <c r="ER41" s="274"/>
      <c r="ES41" s="274"/>
      <c r="ET41" s="274"/>
      <c r="EU41" s="274"/>
      <c r="EV41" s="274"/>
      <c r="EW41" s="274"/>
      <c r="EX41" s="274"/>
      <c r="EY41" s="274"/>
      <c r="EZ41" s="274"/>
      <c r="FA41" s="274"/>
      <c r="FB41" s="274"/>
      <c r="FC41" s="274"/>
      <c r="FD41" s="274"/>
      <c r="FE41" s="274"/>
      <c r="FF41" s="274"/>
      <c r="FG41" s="274"/>
      <c r="FH41" s="274"/>
      <c r="FI41" s="274"/>
      <c r="FJ41" s="274"/>
      <c r="FK41" s="274"/>
      <c r="FL41" s="274"/>
      <c r="FM41" s="274"/>
      <c r="FN41" s="274"/>
      <c r="FO41" s="274"/>
      <c r="FP41" s="274"/>
      <c r="FQ41" s="274"/>
      <c r="FR41" s="274"/>
      <c r="FS41" s="274"/>
      <c r="FT41" s="274"/>
      <c r="FU41" s="274"/>
      <c r="FV41" s="274"/>
      <c r="FW41" s="274"/>
      <c r="FX41" s="274"/>
      <c r="FY41" s="274"/>
      <c r="FZ41" s="274"/>
      <c r="GA41" s="274"/>
      <c r="GB41" s="274"/>
      <c r="GC41" s="274"/>
      <c r="GD41" s="274"/>
      <c r="GE41" s="274"/>
      <c r="GF41" s="274"/>
      <c r="GG41" s="274"/>
      <c r="GH41" s="274"/>
      <c r="GI41" s="274"/>
      <c r="GJ41" s="274"/>
      <c r="GK41" s="274"/>
      <c r="GL41" s="274"/>
      <c r="GM41" s="274"/>
      <c r="GN41" s="274"/>
      <c r="GO41" s="274"/>
      <c r="GP41" s="274"/>
      <c r="GQ41" s="274"/>
      <c r="GR41" s="274"/>
      <c r="GS41" s="274"/>
      <c r="GT41" s="274"/>
      <c r="GU41" s="274"/>
      <c r="GV41" s="274"/>
      <c r="GW41" s="274"/>
      <c r="GX41" s="274"/>
      <c r="GY41" s="274"/>
      <c r="GZ41" s="274"/>
      <c r="HA41" s="274"/>
      <c r="HB41" s="274"/>
      <c r="HC41" s="274"/>
      <c r="HD41" s="274"/>
      <c r="HE41" s="274"/>
      <c r="HF41" s="274"/>
      <c r="HG41" s="274"/>
      <c r="HH41" s="274"/>
      <c r="HI41" s="274"/>
      <c r="HJ41" s="274"/>
    </row>
    <row r="42" spans="1:218" ht="12.75">
      <c r="A42" s="87"/>
      <c r="B42" s="153"/>
      <c r="C42" s="33"/>
      <c r="D42" s="33"/>
      <c r="E42" s="33"/>
      <c r="F42" s="33"/>
      <c r="G42" s="33"/>
      <c r="H42" s="33"/>
      <c r="I42" s="33"/>
      <c r="J42" s="62"/>
      <c r="K42" s="63"/>
      <c r="L42" s="63"/>
      <c r="M42" s="87"/>
      <c r="N42" s="319"/>
      <c r="O42" s="315"/>
      <c r="P42" s="315"/>
      <c r="U42" s="315"/>
      <c r="V42" s="315"/>
      <c r="W42" s="315"/>
      <c r="X42" s="315"/>
      <c r="Y42" s="315"/>
      <c r="Z42" s="274"/>
      <c r="AA42" s="274"/>
      <c r="AB42" s="274"/>
      <c r="AC42" s="274"/>
      <c r="AD42" s="274"/>
      <c r="AE42" s="274"/>
      <c r="AF42" s="274"/>
      <c r="AG42" s="274"/>
      <c r="AH42" s="274"/>
      <c r="AI42" s="274"/>
      <c r="AJ42" s="274"/>
      <c r="AK42" s="274"/>
      <c r="AL42" s="274"/>
      <c r="AM42" s="274"/>
      <c r="AN42" s="274"/>
      <c r="AO42" s="274"/>
      <c r="AP42" s="274"/>
      <c r="AQ42" s="274"/>
      <c r="AR42" s="274"/>
      <c r="AS42" s="274"/>
      <c r="AT42" s="274"/>
      <c r="AU42" s="274"/>
      <c r="AV42" s="274"/>
      <c r="AW42" s="274"/>
      <c r="AX42" s="274"/>
      <c r="AY42" s="274"/>
      <c r="AZ42" s="274"/>
      <c r="BA42" s="274"/>
      <c r="BB42" s="274"/>
      <c r="BC42" s="274"/>
      <c r="BD42" s="274"/>
      <c r="BE42" s="274"/>
      <c r="BF42" s="274"/>
      <c r="BG42" s="274"/>
      <c r="BH42" s="274"/>
      <c r="BI42" s="274"/>
      <c r="BJ42" s="274"/>
      <c r="BK42" s="274"/>
      <c r="BL42" s="274"/>
      <c r="BM42" s="274"/>
      <c r="BN42" s="274"/>
      <c r="BO42" s="274"/>
      <c r="BP42" s="274"/>
      <c r="BQ42" s="274"/>
      <c r="BR42" s="274"/>
      <c r="BS42" s="274"/>
      <c r="BT42" s="274"/>
      <c r="BU42" s="274"/>
      <c r="BV42" s="274"/>
      <c r="BW42" s="274"/>
      <c r="BX42" s="274"/>
      <c r="BY42" s="274"/>
      <c r="BZ42" s="274"/>
      <c r="CA42" s="274"/>
      <c r="CB42" s="274"/>
      <c r="CC42" s="274"/>
      <c r="CD42" s="274"/>
      <c r="CE42" s="274"/>
      <c r="CF42" s="274"/>
      <c r="CG42" s="274"/>
      <c r="CH42" s="274"/>
      <c r="CI42" s="274"/>
      <c r="CJ42" s="274"/>
      <c r="CK42" s="274"/>
      <c r="CL42" s="274"/>
      <c r="CM42" s="274"/>
      <c r="CN42" s="274"/>
      <c r="CO42" s="274"/>
      <c r="CP42" s="274"/>
      <c r="CQ42" s="274"/>
      <c r="CR42" s="274"/>
      <c r="CS42" s="274"/>
      <c r="CT42" s="274"/>
      <c r="CU42" s="274"/>
      <c r="CV42" s="274"/>
      <c r="CW42" s="274"/>
      <c r="CX42" s="274"/>
      <c r="CY42" s="274"/>
      <c r="CZ42" s="274"/>
      <c r="DA42" s="274"/>
      <c r="DB42" s="274"/>
      <c r="DC42" s="274"/>
      <c r="DD42" s="274"/>
      <c r="DE42" s="274"/>
      <c r="DF42" s="274"/>
      <c r="DG42" s="274"/>
      <c r="DH42" s="274"/>
      <c r="DI42" s="274"/>
      <c r="DJ42" s="274"/>
      <c r="DK42" s="274"/>
      <c r="DL42" s="274"/>
      <c r="DM42" s="274"/>
      <c r="DN42" s="274"/>
      <c r="DO42" s="274"/>
      <c r="DP42" s="274"/>
      <c r="DQ42" s="274"/>
      <c r="DR42" s="274"/>
      <c r="DS42" s="274"/>
      <c r="DT42" s="274"/>
      <c r="DU42" s="274"/>
      <c r="DV42" s="274"/>
      <c r="DW42" s="274"/>
      <c r="DX42" s="274"/>
      <c r="DY42" s="274"/>
      <c r="DZ42" s="274"/>
      <c r="EA42" s="274"/>
      <c r="EB42" s="274"/>
      <c r="EC42" s="274"/>
      <c r="ED42" s="274"/>
      <c r="EE42" s="274"/>
      <c r="EF42" s="274"/>
      <c r="EG42" s="274"/>
      <c r="EH42" s="274"/>
      <c r="EI42" s="274"/>
      <c r="EJ42" s="274"/>
      <c r="EK42" s="274"/>
      <c r="EL42" s="274"/>
      <c r="EM42" s="274"/>
      <c r="EN42" s="274"/>
      <c r="EO42" s="274"/>
      <c r="EP42" s="274"/>
      <c r="EQ42" s="274"/>
      <c r="ER42" s="274"/>
      <c r="ES42" s="274"/>
      <c r="ET42" s="274"/>
      <c r="EU42" s="274"/>
      <c r="EV42" s="274"/>
      <c r="EW42" s="274"/>
      <c r="EX42" s="274"/>
      <c r="EY42" s="274"/>
      <c r="EZ42" s="274"/>
      <c r="FA42" s="274"/>
      <c r="FB42" s="274"/>
      <c r="FC42" s="274"/>
      <c r="FD42" s="274"/>
      <c r="FE42" s="274"/>
      <c r="FF42" s="274"/>
      <c r="FG42" s="274"/>
      <c r="FH42" s="274"/>
      <c r="FI42" s="274"/>
      <c r="FJ42" s="274"/>
      <c r="FK42" s="274"/>
      <c r="FL42" s="274"/>
      <c r="FM42" s="274"/>
      <c r="FN42" s="274"/>
      <c r="FO42" s="274"/>
      <c r="FP42" s="274"/>
      <c r="FQ42" s="274"/>
      <c r="FR42" s="274"/>
      <c r="FS42" s="274"/>
      <c r="FT42" s="274"/>
      <c r="FU42" s="274"/>
      <c r="FV42" s="274"/>
      <c r="FW42" s="274"/>
      <c r="FX42" s="274"/>
      <c r="FY42" s="274"/>
      <c r="FZ42" s="274"/>
      <c r="GA42" s="274"/>
      <c r="GB42" s="274"/>
      <c r="GC42" s="274"/>
      <c r="GD42" s="274"/>
      <c r="GE42" s="274"/>
      <c r="GF42" s="274"/>
      <c r="GG42" s="274"/>
      <c r="GH42" s="274"/>
      <c r="GI42" s="274"/>
      <c r="GJ42" s="274"/>
      <c r="GK42" s="274"/>
      <c r="GL42" s="274"/>
      <c r="GM42" s="274"/>
      <c r="GN42" s="274"/>
      <c r="GO42" s="274"/>
      <c r="GP42" s="274"/>
      <c r="GQ42" s="274"/>
      <c r="GR42" s="274"/>
      <c r="GS42" s="274"/>
      <c r="GT42" s="274"/>
      <c r="GU42" s="274"/>
      <c r="GV42" s="274"/>
      <c r="GW42" s="274"/>
      <c r="GX42" s="274"/>
      <c r="GY42" s="274"/>
      <c r="GZ42" s="274"/>
      <c r="HA42" s="274"/>
      <c r="HB42" s="274"/>
      <c r="HC42" s="274"/>
      <c r="HD42" s="274"/>
      <c r="HE42" s="274"/>
      <c r="HF42" s="274"/>
      <c r="HG42" s="274"/>
      <c r="HH42" s="274"/>
      <c r="HI42" s="274"/>
      <c r="HJ42" s="274"/>
    </row>
    <row r="43" spans="1:218" ht="12.75">
      <c r="A43" s="87"/>
      <c r="B43" s="153"/>
      <c r="C43" s="33"/>
      <c r="D43" s="33"/>
      <c r="E43" s="33"/>
      <c r="F43" s="33"/>
      <c r="G43" s="33"/>
      <c r="H43" s="33"/>
      <c r="I43" s="33"/>
      <c r="J43" s="62"/>
      <c r="K43" s="63"/>
      <c r="L43" s="63"/>
      <c r="M43" s="87"/>
      <c r="N43" s="319"/>
      <c r="O43" s="315"/>
      <c r="P43" s="315"/>
      <c r="Q43" s="315"/>
      <c r="R43" s="331"/>
      <c r="S43" s="315"/>
      <c r="T43" s="315"/>
      <c r="U43" s="315"/>
      <c r="V43" s="315"/>
      <c r="W43" s="315"/>
      <c r="X43" s="315"/>
      <c r="Y43" s="315"/>
      <c r="Z43" s="274"/>
      <c r="AA43" s="274"/>
      <c r="AB43" s="274"/>
      <c r="AC43" s="274"/>
      <c r="AD43" s="274"/>
      <c r="AE43" s="274"/>
      <c r="AF43" s="274"/>
      <c r="AG43" s="274"/>
      <c r="AH43" s="274"/>
      <c r="AI43" s="274"/>
      <c r="AJ43" s="274"/>
      <c r="AK43" s="274"/>
      <c r="AL43" s="274"/>
      <c r="AM43" s="274"/>
      <c r="AN43" s="274"/>
      <c r="AO43" s="274"/>
      <c r="AP43" s="274"/>
      <c r="AQ43" s="274"/>
      <c r="AR43" s="274"/>
      <c r="AS43" s="274"/>
      <c r="AT43" s="274"/>
      <c r="AU43" s="274"/>
      <c r="AV43" s="274"/>
      <c r="AW43" s="274"/>
      <c r="AX43" s="274"/>
      <c r="AY43" s="274"/>
      <c r="AZ43" s="274"/>
      <c r="BA43" s="274"/>
      <c r="BB43" s="274"/>
      <c r="BC43" s="274"/>
      <c r="BD43" s="274"/>
      <c r="BE43" s="274"/>
      <c r="BF43" s="274"/>
      <c r="BG43" s="274"/>
      <c r="BH43" s="274"/>
      <c r="BI43" s="274"/>
      <c r="BJ43" s="274"/>
      <c r="BK43" s="274"/>
      <c r="BL43" s="274"/>
      <c r="BM43" s="274"/>
      <c r="BN43" s="274"/>
      <c r="BO43" s="274"/>
      <c r="BP43" s="274"/>
      <c r="BQ43" s="274"/>
      <c r="BR43" s="274"/>
      <c r="BS43" s="274"/>
      <c r="BT43" s="274"/>
      <c r="BU43" s="274"/>
      <c r="BV43" s="274"/>
      <c r="BW43" s="274"/>
      <c r="BX43" s="274"/>
      <c r="BY43" s="274"/>
      <c r="BZ43" s="274"/>
      <c r="CA43" s="274"/>
      <c r="CB43" s="274"/>
      <c r="CC43" s="274"/>
      <c r="CD43" s="274"/>
      <c r="CE43" s="274"/>
      <c r="CF43" s="274"/>
      <c r="CG43" s="274"/>
      <c r="CH43" s="274"/>
      <c r="CI43" s="274"/>
      <c r="CJ43" s="274"/>
      <c r="CK43" s="274"/>
      <c r="CL43" s="274"/>
      <c r="CM43" s="274"/>
      <c r="CN43" s="274"/>
      <c r="CO43" s="274"/>
      <c r="CP43" s="274"/>
      <c r="CQ43" s="274"/>
      <c r="CR43" s="274"/>
      <c r="CS43" s="274"/>
      <c r="CT43" s="274"/>
      <c r="CU43" s="274"/>
      <c r="CV43" s="274"/>
      <c r="CW43" s="274"/>
      <c r="CX43" s="274"/>
      <c r="CY43" s="274"/>
      <c r="CZ43" s="274"/>
      <c r="DA43" s="274"/>
      <c r="DB43" s="274"/>
      <c r="DC43" s="274"/>
      <c r="DD43" s="274"/>
      <c r="DE43" s="274"/>
      <c r="DF43" s="274"/>
      <c r="DG43" s="274"/>
      <c r="DH43" s="274"/>
      <c r="DI43" s="274"/>
      <c r="DJ43" s="274"/>
      <c r="DK43" s="274"/>
      <c r="DL43" s="274"/>
      <c r="DM43" s="274"/>
      <c r="DN43" s="274"/>
      <c r="DO43" s="274"/>
      <c r="DP43" s="274"/>
      <c r="DQ43" s="274"/>
      <c r="DR43" s="274"/>
      <c r="DS43" s="274"/>
      <c r="DT43" s="274"/>
      <c r="DU43" s="274"/>
      <c r="DV43" s="274"/>
      <c r="DW43" s="274"/>
      <c r="DX43" s="274"/>
      <c r="DY43" s="274"/>
      <c r="DZ43" s="274"/>
      <c r="EA43" s="274"/>
      <c r="EB43" s="274"/>
      <c r="EC43" s="274"/>
      <c r="ED43" s="274"/>
      <c r="EE43" s="274"/>
      <c r="EF43" s="274"/>
      <c r="EG43" s="274"/>
      <c r="EH43" s="274"/>
      <c r="EI43" s="274"/>
      <c r="EJ43" s="274"/>
      <c r="EK43" s="274"/>
      <c r="EL43" s="274"/>
      <c r="EM43" s="274"/>
      <c r="EN43" s="274"/>
      <c r="EO43" s="274"/>
      <c r="EP43" s="274"/>
      <c r="EQ43" s="274"/>
      <c r="ER43" s="274"/>
      <c r="ES43" s="274"/>
      <c r="ET43" s="274"/>
      <c r="EU43" s="274"/>
      <c r="EV43" s="274"/>
      <c r="EW43" s="274"/>
      <c r="EX43" s="274"/>
      <c r="EY43" s="274"/>
      <c r="EZ43" s="274"/>
      <c r="FA43" s="274"/>
      <c r="FB43" s="274"/>
      <c r="FC43" s="274"/>
      <c r="FD43" s="274"/>
      <c r="FE43" s="274"/>
      <c r="FF43" s="274"/>
      <c r="FG43" s="274"/>
      <c r="FH43" s="274"/>
      <c r="FI43" s="274"/>
      <c r="FJ43" s="274"/>
      <c r="FK43" s="274"/>
      <c r="FL43" s="274"/>
      <c r="FM43" s="274"/>
      <c r="FN43" s="274"/>
      <c r="FO43" s="274"/>
      <c r="FP43" s="274"/>
      <c r="FQ43" s="274"/>
      <c r="FR43" s="274"/>
      <c r="FS43" s="274"/>
      <c r="FT43" s="274"/>
      <c r="FU43" s="274"/>
      <c r="FV43" s="274"/>
      <c r="FW43" s="274"/>
      <c r="FX43" s="274"/>
      <c r="FY43" s="274"/>
      <c r="FZ43" s="274"/>
      <c r="GA43" s="274"/>
      <c r="GB43" s="274"/>
      <c r="GC43" s="274"/>
      <c r="GD43" s="274"/>
      <c r="GE43" s="274"/>
      <c r="GF43" s="274"/>
      <c r="GG43" s="274"/>
      <c r="GH43" s="274"/>
      <c r="GI43" s="274"/>
      <c r="GJ43" s="274"/>
      <c r="GK43" s="274"/>
      <c r="GL43" s="274"/>
      <c r="GM43" s="274"/>
      <c r="GN43" s="274"/>
      <c r="GO43" s="274"/>
      <c r="GP43" s="274"/>
      <c r="GQ43" s="274"/>
      <c r="GR43" s="274"/>
      <c r="GS43" s="274"/>
      <c r="GT43" s="274"/>
      <c r="GU43" s="274"/>
      <c r="GV43" s="274"/>
      <c r="GW43" s="274"/>
      <c r="GX43" s="274"/>
      <c r="GY43" s="274"/>
      <c r="GZ43" s="274"/>
      <c r="HA43" s="274"/>
      <c r="HB43" s="274"/>
      <c r="HC43" s="274"/>
      <c r="HD43" s="274"/>
      <c r="HE43" s="274"/>
      <c r="HF43" s="274"/>
      <c r="HG43" s="274"/>
      <c r="HH43" s="274"/>
      <c r="HI43" s="274"/>
      <c r="HJ43" s="274"/>
    </row>
    <row r="44" spans="1:218" ht="12.75">
      <c r="A44" s="87"/>
      <c r="B44" s="462"/>
      <c r="C44" s="462"/>
      <c r="D44" s="462"/>
      <c r="E44" s="462"/>
      <c r="F44" s="462"/>
      <c r="G44" s="462"/>
      <c r="H44" s="462"/>
      <c r="I44" s="462"/>
      <c r="J44" s="462"/>
      <c r="K44" s="63"/>
      <c r="L44" s="63"/>
      <c r="M44" s="87"/>
      <c r="N44" s="319"/>
      <c r="O44" s="315"/>
      <c r="P44" s="315"/>
      <c r="Q44" s="315"/>
      <c r="R44" s="331"/>
      <c r="S44" s="315"/>
      <c r="T44" s="315"/>
      <c r="U44" s="315"/>
      <c r="V44" s="315"/>
      <c r="W44" s="315"/>
      <c r="X44" s="315"/>
      <c r="Y44" s="315"/>
      <c r="Z44" s="274"/>
      <c r="AA44" s="274"/>
      <c r="AB44" s="274"/>
      <c r="AC44" s="274"/>
      <c r="AD44" s="274"/>
      <c r="AE44" s="274"/>
      <c r="AF44" s="274"/>
      <c r="AG44" s="274"/>
      <c r="AH44" s="274"/>
      <c r="AI44" s="274"/>
      <c r="AJ44" s="274"/>
      <c r="AK44" s="274"/>
      <c r="AL44" s="274"/>
      <c r="AM44" s="274"/>
      <c r="AN44" s="274"/>
      <c r="AO44" s="274"/>
      <c r="AP44" s="274"/>
      <c r="AQ44" s="274"/>
      <c r="AR44" s="274"/>
      <c r="AS44" s="274"/>
      <c r="AT44" s="274"/>
      <c r="AU44" s="274"/>
      <c r="AV44" s="274"/>
      <c r="AW44" s="274"/>
      <c r="AX44" s="274"/>
      <c r="AY44" s="274"/>
      <c r="AZ44" s="274"/>
      <c r="BA44" s="274"/>
      <c r="BB44" s="274"/>
      <c r="BC44" s="274"/>
      <c r="BD44" s="274"/>
      <c r="BE44" s="274"/>
      <c r="BF44" s="274"/>
      <c r="BG44" s="274"/>
      <c r="BH44" s="274"/>
      <c r="BI44" s="274"/>
      <c r="BJ44" s="274"/>
      <c r="BK44" s="274"/>
      <c r="BL44" s="274"/>
      <c r="BM44" s="274"/>
      <c r="BN44" s="274"/>
      <c r="BO44" s="274"/>
      <c r="BP44" s="274"/>
      <c r="BQ44" s="274"/>
      <c r="BR44" s="274"/>
      <c r="BS44" s="274"/>
      <c r="BT44" s="274"/>
      <c r="BU44" s="274"/>
      <c r="BV44" s="274"/>
      <c r="BW44" s="274"/>
      <c r="BX44" s="274"/>
      <c r="BY44" s="274"/>
      <c r="BZ44" s="274"/>
      <c r="CA44" s="274"/>
      <c r="CB44" s="274"/>
      <c r="CC44" s="274"/>
      <c r="CD44" s="274"/>
      <c r="CE44" s="274"/>
      <c r="CF44" s="274"/>
      <c r="CG44" s="274"/>
      <c r="CH44" s="274"/>
      <c r="CI44" s="274"/>
      <c r="CJ44" s="274"/>
      <c r="CK44" s="274"/>
      <c r="CL44" s="274"/>
      <c r="CM44" s="274"/>
      <c r="CN44" s="274"/>
      <c r="CO44" s="274"/>
      <c r="CP44" s="274"/>
      <c r="CQ44" s="274"/>
      <c r="CR44" s="274"/>
      <c r="CS44" s="274"/>
      <c r="CT44" s="274"/>
      <c r="CU44" s="274"/>
      <c r="CV44" s="274"/>
      <c r="CW44" s="274"/>
      <c r="CX44" s="274"/>
      <c r="CY44" s="274"/>
      <c r="CZ44" s="274"/>
      <c r="DA44" s="274"/>
      <c r="DB44" s="274"/>
      <c r="DC44" s="274"/>
      <c r="DD44" s="274"/>
      <c r="DE44" s="274"/>
      <c r="DF44" s="274"/>
      <c r="DG44" s="274"/>
      <c r="DH44" s="274"/>
      <c r="DI44" s="274"/>
      <c r="DJ44" s="274"/>
      <c r="DK44" s="274"/>
      <c r="DL44" s="274"/>
      <c r="DM44" s="274"/>
      <c r="DN44" s="274"/>
      <c r="DO44" s="274"/>
      <c r="DP44" s="274"/>
      <c r="DQ44" s="274"/>
      <c r="DR44" s="274"/>
      <c r="DS44" s="274"/>
      <c r="DT44" s="274"/>
      <c r="DU44" s="274"/>
      <c r="DV44" s="274"/>
      <c r="DW44" s="274"/>
      <c r="DX44" s="274"/>
      <c r="DY44" s="274"/>
      <c r="DZ44" s="274"/>
      <c r="EA44" s="274"/>
      <c r="EB44" s="274"/>
      <c r="EC44" s="274"/>
      <c r="ED44" s="274"/>
      <c r="EE44" s="274"/>
      <c r="EF44" s="274"/>
      <c r="EG44" s="274"/>
      <c r="EH44" s="274"/>
      <c r="EI44" s="274"/>
      <c r="EJ44" s="274"/>
      <c r="EK44" s="274"/>
      <c r="EL44" s="274"/>
      <c r="EM44" s="274"/>
      <c r="EN44" s="274"/>
      <c r="EO44" s="274"/>
      <c r="EP44" s="274"/>
      <c r="EQ44" s="274"/>
      <c r="ER44" s="274"/>
      <c r="ES44" s="274"/>
      <c r="ET44" s="274"/>
      <c r="EU44" s="274"/>
      <c r="EV44" s="274"/>
      <c r="EW44" s="274"/>
      <c r="EX44" s="274"/>
      <c r="EY44" s="274"/>
      <c r="EZ44" s="274"/>
      <c r="FA44" s="274"/>
      <c r="FB44" s="274"/>
      <c r="FC44" s="274"/>
      <c r="FD44" s="274"/>
      <c r="FE44" s="274"/>
      <c r="FF44" s="274"/>
      <c r="FG44" s="274"/>
      <c r="FH44" s="274"/>
      <c r="FI44" s="274"/>
      <c r="FJ44" s="274"/>
      <c r="FK44" s="274"/>
      <c r="FL44" s="274"/>
      <c r="FM44" s="274"/>
      <c r="FN44" s="274"/>
      <c r="FO44" s="274"/>
      <c r="FP44" s="274"/>
      <c r="FQ44" s="274"/>
      <c r="FR44" s="274"/>
      <c r="FS44" s="274"/>
      <c r="FT44" s="274"/>
      <c r="FU44" s="274"/>
      <c r="FV44" s="274"/>
      <c r="FW44" s="274"/>
      <c r="FX44" s="274"/>
      <c r="FY44" s="274"/>
      <c r="FZ44" s="274"/>
      <c r="GA44" s="274"/>
      <c r="GB44" s="274"/>
      <c r="GC44" s="274"/>
      <c r="GD44" s="274"/>
      <c r="GE44" s="274"/>
      <c r="GF44" s="274"/>
      <c r="GG44" s="274"/>
      <c r="GH44" s="274"/>
      <c r="GI44" s="274"/>
      <c r="GJ44" s="274"/>
      <c r="GK44" s="274"/>
      <c r="GL44" s="274"/>
      <c r="GM44" s="274"/>
      <c r="GN44" s="274"/>
      <c r="GO44" s="274"/>
      <c r="GP44" s="274"/>
      <c r="GQ44" s="274"/>
      <c r="GR44" s="274"/>
      <c r="GS44" s="274"/>
      <c r="GT44" s="274"/>
      <c r="GU44" s="274"/>
      <c r="GV44" s="274"/>
      <c r="GW44" s="274"/>
      <c r="GX44" s="274"/>
      <c r="GY44" s="274"/>
      <c r="GZ44" s="274"/>
      <c r="HA44" s="274"/>
      <c r="HB44" s="274"/>
      <c r="HC44" s="274"/>
      <c r="HD44" s="274"/>
      <c r="HE44" s="274"/>
      <c r="HF44" s="274"/>
      <c r="HG44" s="274"/>
      <c r="HH44" s="274"/>
      <c r="HI44" s="274"/>
      <c r="HJ44" s="274"/>
    </row>
    <row r="45" spans="1:218" ht="12.75">
      <c r="A45" s="87"/>
      <c r="B45" s="462"/>
      <c r="C45" s="462"/>
      <c r="D45" s="462"/>
      <c r="E45" s="462"/>
      <c r="F45" s="462"/>
      <c r="G45" s="462"/>
      <c r="H45" s="462"/>
      <c r="I45" s="462"/>
      <c r="J45" s="462"/>
      <c r="K45" s="63"/>
      <c r="L45" s="63"/>
      <c r="M45" s="87"/>
      <c r="N45" s="319"/>
      <c r="O45" s="315"/>
      <c r="P45" s="315"/>
      <c r="Q45" s="315"/>
      <c r="R45" s="331"/>
      <c r="S45" s="315"/>
      <c r="T45" s="315"/>
      <c r="U45" s="315"/>
      <c r="V45" s="315"/>
      <c r="W45" s="315"/>
      <c r="X45" s="315"/>
      <c r="Y45" s="315"/>
      <c r="Z45" s="274"/>
      <c r="AA45" s="274"/>
      <c r="AB45" s="274"/>
      <c r="AC45" s="274"/>
      <c r="AD45" s="274"/>
      <c r="AE45" s="274"/>
      <c r="AF45" s="274"/>
      <c r="AG45" s="274"/>
      <c r="AH45" s="274"/>
      <c r="AI45" s="274"/>
      <c r="AJ45" s="274"/>
      <c r="AK45" s="274"/>
      <c r="AL45" s="274"/>
      <c r="AM45" s="274"/>
      <c r="AN45" s="274"/>
      <c r="AO45" s="274"/>
      <c r="AP45" s="274"/>
      <c r="AQ45" s="274"/>
      <c r="AR45" s="274"/>
      <c r="AS45" s="274"/>
      <c r="AT45" s="274"/>
      <c r="AU45" s="274"/>
      <c r="AV45" s="274"/>
      <c r="AW45" s="274"/>
      <c r="AX45" s="274"/>
      <c r="AY45" s="274"/>
      <c r="AZ45" s="274"/>
      <c r="BA45" s="274"/>
      <c r="BB45" s="274"/>
      <c r="BC45" s="274"/>
      <c r="BD45" s="274"/>
      <c r="BE45" s="274"/>
      <c r="BF45" s="274"/>
      <c r="BG45" s="274"/>
      <c r="BH45" s="274"/>
      <c r="BI45" s="274"/>
      <c r="BJ45" s="274"/>
      <c r="BK45" s="274"/>
      <c r="BL45" s="274"/>
      <c r="BM45" s="274"/>
      <c r="BN45" s="274"/>
      <c r="BO45" s="274"/>
      <c r="BP45" s="274"/>
      <c r="BQ45" s="274"/>
      <c r="BR45" s="274"/>
      <c r="BS45" s="274"/>
      <c r="BT45" s="274"/>
      <c r="BU45" s="274"/>
      <c r="BV45" s="274"/>
      <c r="BW45" s="274"/>
      <c r="BX45" s="274"/>
      <c r="BY45" s="274"/>
      <c r="BZ45" s="274"/>
      <c r="CA45" s="274"/>
      <c r="CB45" s="274"/>
      <c r="CC45" s="274"/>
      <c r="CD45" s="274"/>
      <c r="CE45" s="274"/>
      <c r="CF45" s="274"/>
      <c r="CG45" s="274"/>
      <c r="CH45" s="274"/>
      <c r="CI45" s="274"/>
      <c r="CJ45" s="274"/>
      <c r="CK45" s="274"/>
      <c r="CL45" s="274"/>
      <c r="CM45" s="274"/>
      <c r="CN45" s="274"/>
      <c r="CO45" s="274"/>
      <c r="CP45" s="274"/>
      <c r="CQ45" s="274"/>
      <c r="CR45" s="274"/>
      <c r="CS45" s="274"/>
      <c r="CT45" s="274"/>
      <c r="CU45" s="274"/>
      <c r="CV45" s="274"/>
      <c r="CW45" s="274"/>
      <c r="CX45" s="274"/>
      <c r="CY45" s="274"/>
      <c r="CZ45" s="274"/>
      <c r="DA45" s="274"/>
      <c r="DB45" s="274"/>
      <c r="DC45" s="274"/>
      <c r="DD45" s="274"/>
      <c r="DE45" s="274"/>
      <c r="DF45" s="274"/>
      <c r="DG45" s="274"/>
      <c r="DH45" s="274"/>
      <c r="DI45" s="274"/>
      <c r="DJ45" s="274"/>
      <c r="DK45" s="274"/>
      <c r="DL45" s="274"/>
      <c r="DM45" s="274"/>
      <c r="DN45" s="274"/>
      <c r="DO45" s="274"/>
      <c r="DP45" s="274"/>
      <c r="DQ45" s="274"/>
      <c r="DR45" s="274"/>
      <c r="DS45" s="274"/>
      <c r="DT45" s="274"/>
      <c r="DU45" s="274"/>
      <c r="DV45" s="274"/>
      <c r="DW45" s="274"/>
      <c r="DX45" s="274"/>
      <c r="DY45" s="274"/>
      <c r="DZ45" s="274"/>
      <c r="EA45" s="274"/>
      <c r="EB45" s="274"/>
      <c r="EC45" s="274"/>
      <c r="ED45" s="274"/>
      <c r="EE45" s="274"/>
      <c r="EF45" s="274"/>
      <c r="EG45" s="274"/>
      <c r="EH45" s="274"/>
      <c r="EI45" s="274"/>
      <c r="EJ45" s="274"/>
      <c r="EK45" s="274"/>
      <c r="EL45" s="274"/>
      <c r="EM45" s="274"/>
      <c r="EN45" s="274"/>
      <c r="EO45" s="274"/>
      <c r="EP45" s="274"/>
      <c r="EQ45" s="274"/>
      <c r="ER45" s="274"/>
      <c r="ES45" s="274"/>
      <c r="ET45" s="274"/>
      <c r="EU45" s="274"/>
      <c r="EV45" s="274"/>
      <c r="EW45" s="274"/>
      <c r="EX45" s="274"/>
      <c r="EY45" s="274"/>
      <c r="EZ45" s="274"/>
      <c r="FA45" s="274"/>
      <c r="FB45" s="274"/>
      <c r="FC45" s="274"/>
      <c r="FD45" s="274"/>
      <c r="FE45" s="274"/>
      <c r="FF45" s="274"/>
      <c r="FG45" s="274"/>
      <c r="FH45" s="274"/>
      <c r="FI45" s="274"/>
      <c r="FJ45" s="274"/>
      <c r="FK45" s="274"/>
      <c r="FL45" s="274"/>
      <c r="FM45" s="274"/>
      <c r="FN45" s="274"/>
      <c r="FO45" s="274"/>
      <c r="FP45" s="274"/>
      <c r="FQ45" s="274"/>
      <c r="FR45" s="274"/>
      <c r="FS45" s="274"/>
      <c r="FT45" s="274"/>
      <c r="FU45" s="274"/>
      <c r="FV45" s="274"/>
      <c r="FW45" s="274"/>
      <c r="FX45" s="274"/>
      <c r="FY45" s="274"/>
      <c r="FZ45" s="274"/>
      <c r="GA45" s="274"/>
      <c r="GB45" s="274"/>
      <c r="GC45" s="274"/>
      <c r="GD45" s="274"/>
      <c r="GE45" s="274"/>
      <c r="GF45" s="274"/>
      <c r="GG45" s="274"/>
      <c r="GH45" s="274"/>
      <c r="GI45" s="274"/>
      <c r="GJ45" s="274"/>
      <c r="GK45" s="274"/>
      <c r="GL45" s="274"/>
      <c r="GM45" s="274"/>
      <c r="GN45" s="274"/>
      <c r="GO45" s="274"/>
      <c r="GP45" s="274"/>
      <c r="GQ45" s="274"/>
      <c r="GR45" s="274"/>
      <c r="GS45" s="274"/>
      <c r="GT45" s="274"/>
      <c r="GU45" s="274"/>
      <c r="GV45" s="274"/>
      <c r="GW45" s="274"/>
      <c r="GX45" s="274"/>
      <c r="GY45" s="274"/>
      <c r="GZ45" s="274"/>
      <c r="HA45" s="274"/>
      <c r="HB45" s="274"/>
      <c r="HC45" s="274"/>
      <c r="HD45" s="274"/>
      <c r="HE45" s="274"/>
      <c r="HF45" s="274"/>
      <c r="HG45" s="274"/>
      <c r="HH45" s="274"/>
      <c r="HI45" s="274"/>
      <c r="HJ45" s="274"/>
    </row>
    <row r="46" spans="1:218" s="55" customFormat="1" ht="12.75">
      <c r="A46" s="87"/>
      <c r="B46" s="462"/>
      <c r="C46" s="462"/>
      <c r="D46" s="462"/>
      <c r="E46" s="462"/>
      <c r="F46" s="462"/>
      <c r="G46" s="462"/>
      <c r="H46" s="462"/>
      <c r="I46" s="462"/>
      <c r="J46" s="462"/>
      <c r="K46" s="63"/>
      <c r="L46" s="63"/>
      <c r="M46" s="87"/>
      <c r="N46" s="317"/>
      <c r="O46" s="317"/>
      <c r="P46" s="317"/>
      <c r="Q46" s="315"/>
      <c r="R46" s="331"/>
      <c r="S46" s="315"/>
      <c r="T46" s="315"/>
      <c r="U46" s="317"/>
      <c r="V46" s="317"/>
      <c r="W46" s="317"/>
      <c r="X46" s="317"/>
      <c r="Y46" s="317"/>
      <c r="Z46" s="273"/>
      <c r="AA46" s="273"/>
      <c r="AB46" s="273"/>
      <c r="AC46" s="273"/>
      <c r="AD46" s="273"/>
      <c r="AE46" s="273"/>
      <c r="AF46" s="273"/>
      <c r="AG46" s="273"/>
      <c r="AH46" s="273"/>
      <c r="AI46" s="273"/>
      <c r="AJ46" s="273"/>
      <c r="AK46" s="273"/>
      <c r="AL46" s="273"/>
      <c r="AM46" s="273"/>
      <c r="AN46" s="273"/>
      <c r="AO46" s="273"/>
      <c r="AP46" s="273"/>
      <c r="AQ46" s="273"/>
      <c r="AR46" s="273"/>
      <c r="AS46" s="273"/>
      <c r="AT46" s="273"/>
      <c r="AU46" s="273"/>
      <c r="AV46" s="273"/>
      <c r="AW46" s="273"/>
      <c r="AX46" s="273"/>
      <c r="AY46" s="273"/>
      <c r="AZ46" s="273"/>
      <c r="BA46" s="273"/>
      <c r="BB46" s="273"/>
      <c r="BC46" s="273"/>
      <c r="BD46" s="273"/>
      <c r="BE46" s="273"/>
      <c r="BF46" s="273"/>
      <c r="BG46" s="273"/>
      <c r="BH46" s="273"/>
      <c r="BI46" s="273"/>
      <c r="BJ46" s="273"/>
      <c r="BK46" s="273"/>
      <c r="BL46" s="273"/>
      <c r="BM46" s="273"/>
      <c r="BN46" s="273"/>
      <c r="BO46" s="273"/>
      <c r="BP46" s="273"/>
      <c r="BQ46" s="273"/>
      <c r="BR46" s="273"/>
      <c r="BS46" s="273"/>
      <c r="BT46" s="273"/>
      <c r="BU46" s="273"/>
      <c r="BV46" s="273"/>
      <c r="BW46" s="273"/>
      <c r="BX46" s="273"/>
      <c r="BY46" s="273"/>
      <c r="BZ46" s="273"/>
      <c r="CA46" s="273"/>
      <c r="CB46" s="273"/>
      <c r="CC46" s="273"/>
      <c r="CD46" s="273"/>
      <c r="CE46" s="273"/>
      <c r="CF46" s="273"/>
      <c r="CG46" s="273"/>
      <c r="CH46" s="273"/>
      <c r="CI46" s="273"/>
      <c r="CJ46" s="273"/>
      <c r="CK46" s="273"/>
      <c r="CL46" s="273"/>
      <c r="CM46" s="273"/>
      <c r="CN46" s="273"/>
      <c r="CO46" s="273"/>
      <c r="CP46" s="273"/>
      <c r="CQ46" s="273"/>
      <c r="CR46" s="273"/>
      <c r="CS46" s="273"/>
      <c r="CT46" s="273"/>
      <c r="CU46" s="273"/>
      <c r="CV46" s="273"/>
      <c r="CW46" s="273"/>
      <c r="CX46" s="273"/>
      <c r="CY46" s="273"/>
      <c r="CZ46" s="273"/>
      <c r="DA46" s="273"/>
      <c r="DB46" s="273"/>
      <c r="DC46" s="273"/>
      <c r="DD46" s="273"/>
      <c r="DE46" s="273"/>
      <c r="DF46" s="273"/>
      <c r="DG46" s="273"/>
      <c r="DH46" s="273"/>
      <c r="DI46" s="273"/>
      <c r="DJ46" s="273"/>
      <c r="DK46" s="273"/>
      <c r="DL46" s="273"/>
      <c r="DM46" s="273"/>
      <c r="DN46" s="273"/>
      <c r="DO46" s="273"/>
      <c r="DP46" s="273"/>
      <c r="DQ46" s="273"/>
      <c r="DR46" s="273"/>
      <c r="DS46" s="273"/>
      <c r="DT46" s="273"/>
      <c r="DU46" s="273"/>
      <c r="DV46" s="273"/>
      <c r="DW46" s="273"/>
      <c r="DX46" s="273"/>
      <c r="DY46" s="273"/>
      <c r="DZ46" s="273"/>
      <c r="EA46" s="273"/>
      <c r="EB46" s="273"/>
      <c r="EC46" s="273"/>
      <c r="ED46" s="273"/>
      <c r="EE46" s="273"/>
      <c r="EF46" s="273"/>
      <c r="EG46" s="273"/>
      <c r="EH46" s="273"/>
      <c r="EI46" s="273"/>
      <c r="EJ46" s="273"/>
      <c r="EK46" s="273"/>
      <c r="EL46" s="273"/>
      <c r="EM46" s="273"/>
      <c r="EN46" s="273"/>
      <c r="EO46" s="273"/>
      <c r="EP46" s="273"/>
      <c r="EQ46" s="273"/>
      <c r="ER46" s="273"/>
      <c r="ES46" s="273"/>
      <c r="ET46" s="273"/>
      <c r="EU46" s="273"/>
      <c r="EV46" s="273"/>
      <c r="EW46" s="273"/>
      <c r="EX46" s="273"/>
      <c r="EY46" s="273"/>
      <c r="EZ46" s="273"/>
      <c r="FA46" s="273"/>
      <c r="FB46" s="273"/>
      <c r="FC46" s="273"/>
      <c r="FD46" s="273"/>
      <c r="FE46" s="273"/>
      <c r="FF46" s="273"/>
      <c r="FG46" s="273"/>
      <c r="FH46" s="273"/>
      <c r="FI46" s="273"/>
      <c r="FJ46" s="273"/>
      <c r="FK46" s="273"/>
      <c r="FL46" s="273"/>
      <c r="FM46" s="273"/>
      <c r="FN46" s="273"/>
      <c r="FO46" s="273"/>
      <c r="FP46" s="273"/>
      <c r="FQ46" s="273"/>
      <c r="FR46" s="273"/>
      <c r="FS46" s="273"/>
      <c r="FT46" s="273"/>
      <c r="FU46" s="273"/>
      <c r="FV46" s="273"/>
      <c r="FW46" s="273"/>
      <c r="FX46" s="273"/>
      <c r="FY46" s="273"/>
      <c r="FZ46" s="273"/>
      <c r="GA46" s="273"/>
      <c r="GB46" s="273"/>
      <c r="GC46" s="273"/>
      <c r="GD46" s="273"/>
      <c r="GE46" s="273"/>
      <c r="GF46" s="273"/>
      <c r="GG46" s="273"/>
      <c r="GH46" s="273"/>
      <c r="GI46" s="273"/>
      <c r="GJ46" s="273"/>
      <c r="GK46" s="273"/>
      <c r="GL46" s="273"/>
      <c r="GM46" s="273"/>
      <c r="GN46" s="273"/>
      <c r="GO46" s="273"/>
      <c r="GP46" s="273"/>
      <c r="GQ46" s="273"/>
      <c r="GR46" s="273"/>
      <c r="GS46" s="273"/>
      <c r="GT46" s="273"/>
      <c r="GU46" s="273"/>
      <c r="GV46" s="273"/>
      <c r="GW46" s="273"/>
      <c r="GX46" s="273"/>
      <c r="GY46" s="273"/>
      <c r="GZ46" s="273"/>
      <c r="HA46" s="273"/>
      <c r="HB46" s="273"/>
      <c r="HC46" s="273"/>
      <c r="HD46" s="273"/>
      <c r="HE46" s="273"/>
      <c r="HF46" s="273"/>
      <c r="HG46" s="273"/>
      <c r="HH46" s="273"/>
      <c r="HI46" s="273"/>
      <c r="HJ46" s="273"/>
    </row>
    <row r="47" spans="1:218" s="55" customFormat="1" ht="13.5" thickBot="1">
      <c r="A47" s="87"/>
      <c r="B47" s="272"/>
      <c r="C47" s="129"/>
      <c r="D47" s="129"/>
      <c r="E47" s="129"/>
      <c r="F47" s="129"/>
      <c r="G47" s="129"/>
      <c r="H47" s="129"/>
      <c r="I47" s="129"/>
      <c r="J47" s="62"/>
      <c r="K47" s="63"/>
      <c r="L47" s="63"/>
      <c r="M47" s="87"/>
      <c r="N47" s="177"/>
      <c r="O47" s="177"/>
      <c r="P47" s="177"/>
      <c r="Q47" s="315"/>
      <c r="R47" s="331"/>
      <c r="S47" s="315"/>
      <c r="T47" s="315"/>
      <c r="U47" s="177"/>
      <c r="V47" s="177"/>
      <c r="W47" s="177"/>
      <c r="X47" s="177"/>
      <c r="Y47" s="177"/>
    </row>
    <row r="48" spans="1:218" s="55" customFormat="1" ht="13.5" thickBot="1">
      <c r="A48" s="87"/>
      <c r="B48" s="280" t="s">
        <v>30</v>
      </c>
      <c r="C48" s="276"/>
      <c r="D48" s="277"/>
      <c r="E48" s="277"/>
      <c r="F48" s="299"/>
      <c r="G48" s="1"/>
      <c r="H48" s="1"/>
      <c r="I48" s="1"/>
      <c r="J48" s="62"/>
      <c r="K48" s="63"/>
      <c r="L48" s="63"/>
      <c r="M48" s="87"/>
      <c r="N48" s="177"/>
      <c r="O48" s="177"/>
      <c r="P48" s="177"/>
      <c r="Q48" s="315"/>
      <c r="R48" s="315"/>
      <c r="S48" s="315"/>
      <c r="T48" s="315"/>
      <c r="U48" s="177"/>
      <c r="V48" s="177"/>
      <c r="W48" s="177"/>
      <c r="X48" s="177"/>
      <c r="Y48" s="177"/>
    </row>
    <row r="49" spans="1:25" s="55" customFormat="1" ht="21.6" customHeight="1">
      <c r="A49" s="87"/>
      <c r="B49" s="281"/>
      <c r="C49" s="297"/>
      <c r="D49" s="297"/>
      <c r="E49" s="297"/>
      <c r="F49" s="300"/>
      <c r="G49" s="73"/>
      <c r="H49" s="73"/>
      <c r="I49" s="73"/>
      <c r="J49" s="74"/>
      <c r="K49" s="103"/>
      <c r="L49" s="282"/>
      <c r="M49" s="114"/>
      <c r="N49" s="177"/>
      <c r="O49" s="177"/>
      <c r="P49" s="177"/>
      <c r="Q49" s="315"/>
      <c r="R49" s="315"/>
      <c r="S49" s="315"/>
      <c r="T49" s="315"/>
      <c r="U49" s="177"/>
      <c r="V49" s="177"/>
      <c r="W49" s="177"/>
      <c r="X49" s="177"/>
      <c r="Y49" s="177"/>
    </row>
    <row r="50" spans="1:25" s="55" customFormat="1" ht="12" customHeight="1">
      <c r="A50" s="87"/>
      <c r="B50" s="45" t="s">
        <v>207</v>
      </c>
      <c r="C50" s="288"/>
      <c r="D50" s="288"/>
      <c r="E50" s="288"/>
      <c r="F50" s="75"/>
      <c r="G50" s="76"/>
      <c r="H50" s="76"/>
      <c r="I50" s="451" t="s">
        <v>31</v>
      </c>
      <c r="J50" s="452"/>
      <c r="K50" s="452"/>
      <c r="L50" s="493"/>
      <c r="M50" s="87"/>
      <c r="N50" s="177"/>
      <c r="O50" s="177"/>
      <c r="P50" s="177"/>
      <c r="Q50" s="317"/>
      <c r="R50" s="317"/>
      <c r="S50" s="317"/>
      <c r="T50" s="317"/>
      <c r="U50" s="177"/>
      <c r="V50" s="177"/>
      <c r="W50" s="177"/>
      <c r="X50" s="177"/>
      <c r="Y50" s="177"/>
    </row>
    <row r="51" spans="1:25" s="55" customFormat="1" ht="11.45" customHeight="1">
      <c r="A51" s="87"/>
      <c r="B51" s="45" t="s">
        <v>208</v>
      </c>
      <c r="C51" s="288"/>
      <c r="D51" s="288"/>
      <c r="E51" s="288"/>
      <c r="F51" s="75"/>
      <c r="G51" s="76"/>
      <c r="H51" s="76"/>
      <c r="I51" s="454"/>
      <c r="J51" s="455"/>
      <c r="K51" s="455"/>
      <c r="L51" s="455"/>
      <c r="M51" s="8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</row>
    <row r="52" spans="1:25" s="55" customFormat="1" ht="12.75" customHeight="1">
      <c r="A52" s="87"/>
      <c r="B52" s="45" t="s">
        <v>209</v>
      </c>
      <c r="C52" s="288"/>
      <c r="D52" s="288"/>
      <c r="E52" s="288"/>
      <c r="F52" s="75"/>
      <c r="G52" s="73"/>
      <c r="H52" s="73"/>
      <c r="I52" s="454"/>
      <c r="J52" s="455"/>
      <c r="K52" s="455"/>
      <c r="L52" s="455"/>
      <c r="M52" s="8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</row>
    <row r="53" spans="1:25" s="55" customFormat="1" ht="15" customHeight="1">
      <c r="A53" s="87"/>
      <c r="B53" s="278" t="s">
        <v>210</v>
      </c>
      <c r="C53" s="205"/>
      <c r="D53" s="205"/>
      <c r="E53" s="205"/>
      <c r="F53" s="301"/>
      <c r="G53" s="73"/>
      <c r="H53" s="73"/>
      <c r="I53" s="454"/>
      <c r="J53" s="455"/>
      <c r="K53" s="455"/>
      <c r="L53" s="455"/>
      <c r="M53" s="8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</row>
    <row r="54" spans="1:25" s="55" customFormat="1" ht="15" customHeight="1">
      <c r="A54" s="87"/>
      <c r="B54" s="45" t="s">
        <v>32</v>
      </c>
      <c r="C54" s="288"/>
      <c r="D54" s="288"/>
      <c r="E54" s="288"/>
      <c r="F54" s="75"/>
      <c r="G54" s="73"/>
      <c r="H54" s="73"/>
      <c r="I54" s="454"/>
      <c r="J54" s="455"/>
      <c r="K54" s="455"/>
      <c r="L54" s="455"/>
      <c r="M54" s="8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</row>
    <row r="55" spans="1:25" s="55" customFormat="1" ht="12.75" customHeight="1">
      <c r="A55" s="87"/>
      <c r="B55" s="278" t="s">
        <v>63</v>
      </c>
      <c r="C55" s="298"/>
      <c r="D55" s="298"/>
      <c r="E55" s="298"/>
      <c r="F55" s="302"/>
      <c r="G55" s="73"/>
      <c r="H55" s="73"/>
      <c r="I55" s="457"/>
      <c r="J55" s="458"/>
      <c r="K55" s="458"/>
      <c r="L55" s="458"/>
      <c r="M55" s="8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</row>
    <row r="56" spans="1:25" s="55" customFormat="1" ht="15" customHeight="1">
      <c r="A56" s="87"/>
      <c r="B56" s="371" t="s">
        <v>213</v>
      </c>
      <c r="C56" s="371"/>
      <c r="D56" s="371"/>
      <c r="E56" s="371"/>
      <c r="F56" s="371"/>
      <c r="G56" s="371"/>
      <c r="H56" s="371"/>
      <c r="I56" s="371"/>
      <c r="J56" s="371"/>
      <c r="K56" s="371"/>
      <c r="L56" s="371"/>
      <c r="M56" s="8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</row>
    <row r="57" spans="1:25" ht="9" customHeight="1">
      <c r="A57" s="295"/>
      <c r="B57" s="291"/>
      <c r="C57" s="291"/>
      <c r="D57" s="291"/>
      <c r="E57" s="291"/>
      <c r="F57" s="291"/>
      <c r="G57" s="291"/>
      <c r="H57" s="291"/>
      <c r="I57" s="291"/>
      <c r="J57" s="292"/>
      <c r="K57" s="291"/>
      <c r="L57" s="291"/>
      <c r="M57" s="296"/>
      <c r="Q57" s="177"/>
      <c r="R57" s="177"/>
      <c r="S57" s="177"/>
      <c r="T57" s="177"/>
    </row>
    <row r="58" spans="1:25" ht="10.5" customHeight="1">
      <c r="A58" s="294"/>
      <c r="M58" s="293"/>
      <c r="Q58" s="177"/>
      <c r="R58" s="177"/>
      <c r="S58" s="177"/>
      <c r="T58" s="177"/>
    </row>
    <row r="59" spans="1:25">
      <c r="Q59" s="177"/>
      <c r="R59" s="177"/>
      <c r="S59" s="177"/>
      <c r="T59" s="177"/>
    </row>
  </sheetData>
  <mergeCells count="36">
    <mergeCell ref="G2:I2"/>
    <mergeCell ref="G3:I3"/>
    <mergeCell ref="G4:I4"/>
    <mergeCell ref="J4:K4"/>
    <mergeCell ref="G5:I5"/>
    <mergeCell ref="J5:K5"/>
    <mergeCell ref="B4:E5"/>
    <mergeCell ref="G6:I6"/>
    <mergeCell ref="C9:E9"/>
    <mergeCell ref="G9:I9"/>
    <mergeCell ref="J9:K9"/>
    <mergeCell ref="C19:J19"/>
    <mergeCell ref="C20:I20"/>
    <mergeCell ref="C23:I24"/>
    <mergeCell ref="B28:L29"/>
    <mergeCell ref="G10:I10"/>
    <mergeCell ref="J10:L10"/>
    <mergeCell ref="C10:E11"/>
    <mergeCell ref="G11:I11"/>
    <mergeCell ref="J11:K11"/>
    <mergeCell ref="B56:L56"/>
    <mergeCell ref="B45:J45"/>
    <mergeCell ref="B46:J46"/>
    <mergeCell ref="I50:L55"/>
    <mergeCell ref="C12:E12"/>
    <mergeCell ref="G12:I12"/>
    <mergeCell ref="J12:K12"/>
    <mergeCell ref="B44:J44"/>
    <mergeCell ref="C13:E13"/>
    <mergeCell ref="G13:I13"/>
    <mergeCell ref="J13:K13"/>
    <mergeCell ref="C14:E14"/>
    <mergeCell ref="G14:I14"/>
    <mergeCell ref="C15:I15"/>
    <mergeCell ref="K15:L15"/>
    <mergeCell ref="B17:L17"/>
  </mergeCells>
  <dataValidations disablePrompts="1" count="6">
    <dataValidation errorStyle="warning" allowBlank="1" showInputMessage="1" errorTitle="Número de tarjeta de crédito" promptTitle="Número de tarjeta de crédito" prompt="Escriba en este espacio el número de la tarjeta de crédito del cliente." sqref="C53" xr:uid="{00000000-0002-0000-0800-000000000000}"/>
    <dataValidation errorStyle="warning" allowBlank="1" showInputMessage="1" errorTitle="Sólo para uso interno" promptTitle="Sólo para uso interno" prompt="Utilice esta sección para agregar información no incluida en ninguna otra sección de la factura. Agréguela directamente a la hoja o escríbala una vez impresa." sqref="I50:I51" xr:uid="{00000000-0002-0000-0800-000001000000}"/>
    <dataValidation type="whole" errorStyle="warning" allowBlank="1" showErrorMessage="1" errorTitle="Cantidad" error="Debe escribir un número en esta celda." promptTitle="Cantidad" sqref="B16 B30:B49 B19:B28" xr:uid="{00000000-0002-0000-0800-000002000000}">
      <formula1>0</formula1>
      <formula2>1000000000</formula2>
    </dataValidation>
    <dataValidation type="decimal" allowBlank="1" showErrorMessage="1" errorTitle="Precio unitario" error="Debe escribir un número en esta celda." promptTitle="Precio unitario" sqref="J47:J48 J30:J35 J38:J43 J25:J27 J20:J21" xr:uid="{00000000-0002-0000-0800-000003000000}">
      <formula1>0</formula1>
      <formula2>1000000000</formula2>
    </dataValidation>
    <dataValidation errorStyle="warning" allowBlank="1" showInputMessage="1" errorTitle="Estado" promptTitle="Estado" prompt="Escriba la abreviatura del estado en esta celda." sqref="E12" xr:uid="{00000000-0002-0000-0800-000004000000}"/>
    <dataValidation allowBlank="1" showInputMessage="1" showErrorMessage="1" promptTitle="Información de la organización" prompt="Para escribir varias líneas en una celda, use Alt+Entrar.  También puede personalizar esta plantilla y guardarla como una nueva para su uso posterior. Para más información sobre cómo crear plantillas personalizadas, vea los temas de ayuda." sqref="B1:I1" xr:uid="{00000000-0002-0000-0800-000005000000}"/>
  </dataValidations>
  <printOptions horizontalCentered="1"/>
  <pageMargins left="0.70866141732283472" right="0.70866141732283472" top="1.1023622047244095" bottom="0.74803149606299213" header="0.31496062992125984" footer="0.31496062992125984"/>
  <pageSetup paperSize="176" scale="8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/>
  <dimension ref="A1:J48"/>
  <sheetViews>
    <sheetView topLeftCell="C23" workbookViewId="0">
      <selection activeCell="D41" sqref="D41"/>
    </sheetView>
  </sheetViews>
  <sheetFormatPr baseColWidth="10" defaultColWidth="11.42578125" defaultRowHeight="15"/>
  <cols>
    <col min="2" max="3" width="33.5703125" customWidth="1"/>
    <col min="4" max="5" width="22.28515625" customWidth="1"/>
    <col min="6" max="6" width="19.42578125" hidden="1" customWidth="1"/>
    <col min="7" max="7" width="38.85546875" customWidth="1"/>
    <col min="8" max="8" width="22.42578125" customWidth="1"/>
  </cols>
  <sheetData>
    <row r="1" spans="1:8">
      <c r="A1" t="s">
        <v>41</v>
      </c>
    </row>
    <row r="3" spans="1:8">
      <c r="C3" t="s">
        <v>88</v>
      </c>
      <c r="D3" t="s">
        <v>51</v>
      </c>
      <c r="E3" t="s">
        <v>84</v>
      </c>
      <c r="F3" t="s">
        <v>42</v>
      </c>
      <c r="G3" t="s">
        <v>42</v>
      </c>
      <c r="H3" t="s">
        <v>108</v>
      </c>
    </row>
    <row r="5" spans="1:8">
      <c r="B5" t="s">
        <v>85</v>
      </c>
      <c r="C5" t="e">
        <f>#REF!</f>
        <v>#REF!</v>
      </c>
      <c r="D5" t="e">
        <f>#REF!</f>
        <v>#REF!</v>
      </c>
      <c r="E5" t="e">
        <f>#REF!</f>
        <v>#REF!</v>
      </c>
      <c r="F5" t="e">
        <f>C5-D5-E5</f>
        <v>#REF!</v>
      </c>
      <c r="G5" s="138" t="e">
        <f>C5-D5-E5</f>
        <v>#REF!</v>
      </c>
      <c r="H5">
        <v>527.10000000000036</v>
      </c>
    </row>
    <row r="7" spans="1:8">
      <c r="B7" t="s">
        <v>103</v>
      </c>
      <c r="G7" s="138"/>
    </row>
    <row r="9" spans="1:8">
      <c r="B9" t="s">
        <v>102</v>
      </c>
      <c r="C9" t="e">
        <f>#REF!</f>
        <v>#REF!</v>
      </c>
      <c r="D9" t="e">
        <f>#REF!</f>
        <v>#REF!</v>
      </c>
      <c r="E9" t="e">
        <f>#REF!</f>
        <v>#REF!</v>
      </c>
      <c r="F9" t="e">
        <f>C9-D9-E9</f>
        <v>#REF!</v>
      </c>
      <c r="G9" s="138" t="e">
        <f>C9-D9-E9</f>
        <v>#REF!</v>
      </c>
      <c r="H9">
        <v>1066.3999999999996</v>
      </c>
    </row>
    <row r="11" spans="1:8">
      <c r="B11" t="s">
        <v>86</v>
      </c>
      <c r="C11" t="e">
        <f>#REF!</f>
        <v>#REF!</v>
      </c>
      <c r="D11" t="e">
        <f>#REF!</f>
        <v>#REF!</v>
      </c>
      <c r="E11" t="e">
        <f>#REF!</f>
        <v>#REF!</v>
      </c>
      <c r="F11" t="e">
        <f>C11-D11-E11</f>
        <v>#REF!</v>
      </c>
      <c r="G11" s="138" t="e">
        <f>C11-D11-E11</f>
        <v>#REF!</v>
      </c>
      <c r="H11">
        <v>3305.6999999999994</v>
      </c>
    </row>
    <row r="13" spans="1:8">
      <c r="B13" t="s">
        <v>87</v>
      </c>
      <c r="C13" t="e">
        <f>#REF!</f>
        <v>#REF!</v>
      </c>
      <c r="D13" t="e">
        <f>#REF!</f>
        <v>#REF!</v>
      </c>
      <c r="E13" t="e">
        <f>#REF!</f>
        <v>#REF!</v>
      </c>
      <c r="F13" t="e">
        <f>C13-D13-E13</f>
        <v>#REF!</v>
      </c>
      <c r="G13" s="138" t="e">
        <f>C13-D13-E13</f>
        <v>#REF!</v>
      </c>
      <c r="H13">
        <v>6153.5789999999915</v>
      </c>
    </row>
    <row r="15" spans="1:8">
      <c r="B15" t="s">
        <v>106</v>
      </c>
      <c r="C15" t="e">
        <f>#REF!</f>
        <v>#REF!</v>
      </c>
      <c r="D15" t="e">
        <f>#REF!</f>
        <v>#REF!</v>
      </c>
      <c r="E15" t="e">
        <f>#REF!</f>
        <v>#REF!</v>
      </c>
      <c r="F15" t="e">
        <f>C15-D15-E15</f>
        <v>#REF!</v>
      </c>
      <c r="G15" s="138" t="e">
        <f>C15-D15-E15</f>
        <v>#REF!</v>
      </c>
      <c r="H15">
        <v>6023.2590000000027</v>
      </c>
    </row>
    <row r="16" spans="1:8">
      <c r="G16" s="138"/>
    </row>
    <row r="17" spans="2:10">
      <c r="B17" t="s">
        <v>89</v>
      </c>
      <c r="C17" t="e">
        <f>#REF!</f>
        <v>#REF!</v>
      </c>
      <c r="D17" t="e">
        <f>#REF!</f>
        <v>#REF!</v>
      </c>
      <c r="E17" t="e">
        <f>#REF!</f>
        <v>#REF!</v>
      </c>
      <c r="F17" t="e">
        <f>C17-D17-E17</f>
        <v>#REF!</v>
      </c>
      <c r="G17" s="138" t="e">
        <f>C17-D17-E17</f>
        <v>#REF!</v>
      </c>
      <c r="H17">
        <v>421.4670000000001</v>
      </c>
    </row>
    <row r="19" spans="2:10">
      <c r="G19" s="138"/>
    </row>
    <row r="20" spans="2:10">
      <c r="F20" t="e">
        <f>F5+F9+F11+F13+F15+F17</f>
        <v>#REF!</v>
      </c>
    </row>
    <row r="22" spans="2:10">
      <c r="C22" t="e">
        <f>SUM(C5:C19)</f>
        <v>#REF!</v>
      </c>
      <c r="D22" t="e">
        <f>SUM(D5:D19)</f>
        <v>#REF!</v>
      </c>
      <c r="E22" t="e">
        <f>SUM(E5:E19)</f>
        <v>#REF!</v>
      </c>
      <c r="G22" s="226" t="e">
        <f>SUM(G5:G19)</f>
        <v>#REF!</v>
      </c>
      <c r="H22">
        <v>19382.179999999993</v>
      </c>
      <c r="J22" s="138" t="e">
        <f>D22+E22+G22</f>
        <v>#REF!</v>
      </c>
    </row>
    <row r="24" spans="2:10">
      <c r="J24" s="138"/>
    </row>
    <row r="26" spans="2:10">
      <c r="C26" t="s">
        <v>109</v>
      </c>
      <c r="D26" t="e">
        <f>C22</f>
        <v>#REF!</v>
      </c>
    </row>
    <row r="27" spans="2:10">
      <c r="C27" t="s">
        <v>110</v>
      </c>
      <c r="D27">
        <f>10000</f>
        <v>10000</v>
      </c>
      <c r="E27" s="138"/>
    </row>
    <row r="28" spans="2:10">
      <c r="C28" t="s">
        <v>111</v>
      </c>
      <c r="D28">
        <v>8500</v>
      </c>
    </row>
    <row r="29" spans="2:10">
      <c r="C29" t="s">
        <v>112</v>
      </c>
      <c r="D29" t="e">
        <f>D22</f>
        <v>#REF!</v>
      </c>
    </row>
    <row r="31" spans="2:10">
      <c r="C31" t="s">
        <v>60</v>
      </c>
      <c r="D31" t="e">
        <f>D26-D27-D28-D29</f>
        <v>#REF!</v>
      </c>
    </row>
    <row r="34" spans="2:7">
      <c r="G34" t="s">
        <v>149</v>
      </c>
    </row>
    <row r="35" spans="2:7">
      <c r="C35" t="s">
        <v>147</v>
      </c>
      <c r="D35">
        <v>148262.47</v>
      </c>
      <c r="G35" s="269">
        <v>10000</v>
      </c>
    </row>
    <row r="36" spans="2:7">
      <c r="D36">
        <v>2200</v>
      </c>
    </row>
    <row r="37" spans="2:7">
      <c r="D37" s="268">
        <f>SUM(D35:D36)</f>
        <v>150462.47</v>
      </c>
    </row>
    <row r="39" spans="2:7">
      <c r="F39" s="130"/>
    </row>
    <row r="41" spans="2:7">
      <c r="C41" t="s">
        <v>148</v>
      </c>
      <c r="D41" t="e">
        <f>D26</f>
        <v>#REF!</v>
      </c>
      <c r="G41" t="e">
        <f>D41*G35/D35</f>
        <v>#REF!</v>
      </c>
    </row>
    <row r="42" spans="2:7">
      <c r="B42" t="s">
        <v>43</v>
      </c>
      <c r="D42">
        <v>2200</v>
      </c>
    </row>
    <row r="43" spans="2:7">
      <c r="D43" t="e">
        <f>SUM(D41:D42)</f>
        <v>#REF!</v>
      </c>
    </row>
    <row r="44" spans="2:7">
      <c r="B44" t="s">
        <v>44</v>
      </c>
    </row>
    <row r="46" spans="2:7">
      <c r="B46" t="s">
        <v>45</v>
      </c>
    </row>
    <row r="48" spans="2:7">
      <c r="B48" t="s">
        <v>46</v>
      </c>
    </row>
  </sheetData>
  <customSheetViews>
    <customSheetView guid="{A8DD552C-BE27-4C7E-BDB3-1479AD9D9E0F}" hiddenColumns="1" state="hidden">
      <selection activeCell="D23" sqref="D23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86"/>
  <sheetViews>
    <sheetView topLeftCell="B25" workbookViewId="0">
      <selection activeCell="J21" sqref="J21"/>
    </sheetView>
  </sheetViews>
  <sheetFormatPr baseColWidth="10" defaultColWidth="2.7109375" defaultRowHeight="10.5"/>
  <cols>
    <col min="1" max="1" width="1.28515625" style="5" customWidth="1"/>
    <col min="2" max="2" width="16" style="5" customWidth="1"/>
    <col min="3" max="3" width="14.5703125" style="5" customWidth="1"/>
    <col min="4" max="4" width="9.140625" style="5" customWidth="1"/>
    <col min="5" max="5" width="8.42578125" style="5" customWidth="1"/>
    <col min="6" max="6" width="1.28515625" style="5" customWidth="1"/>
    <col min="7" max="7" width="8.28515625" style="5" customWidth="1"/>
    <col min="8" max="8" width="1.42578125" style="5" customWidth="1"/>
    <col min="9" max="9" width="3.7109375" style="5" customWidth="1"/>
    <col min="10" max="10" width="15.28515625" style="78" customWidth="1"/>
    <col min="11" max="11" width="16.7109375" style="5" customWidth="1"/>
    <col min="12" max="12" width="1.140625" style="5" customWidth="1"/>
    <col min="13" max="13" width="1.28515625" style="5" customWidth="1"/>
    <col min="14" max="14" width="19.85546875" style="158" customWidth="1"/>
    <col min="15" max="17" width="23.5703125" style="158" customWidth="1"/>
    <col min="18" max="18" width="21.42578125" style="163" customWidth="1"/>
    <col min="19" max="19" width="16" style="169" customWidth="1"/>
    <col min="20" max="20" width="6.5703125" style="5" bestFit="1" customWidth="1"/>
    <col min="21" max="28" width="2.7109375" style="5"/>
    <col min="29" max="29" width="6" style="5" bestFit="1" customWidth="1"/>
    <col min="30" max="16384" width="2.7109375" style="5"/>
  </cols>
  <sheetData>
    <row r="1" spans="1:19" ht="12.75" thickBot="1">
      <c r="A1" s="19"/>
      <c r="B1" s="20"/>
      <c r="C1" s="20"/>
      <c r="D1" s="21"/>
      <c r="E1" s="21"/>
      <c r="F1" s="21"/>
      <c r="G1" s="21"/>
      <c r="H1" s="21"/>
      <c r="I1" s="21"/>
      <c r="J1" s="22"/>
      <c r="K1" s="23"/>
      <c r="L1" s="24"/>
      <c r="M1" s="24"/>
    </row>
    <row r="2" spans="1:19" ht="12">
      <c r="A2" s="4"/>
      <c r="B2" s="25"/>
      <c r="C2" s="26"/>
      <c r="D2" s="27"/>
      <c r="E2" s="27"/>
      <c r="F2" s="27"/>
      <c r="G2" s="349" t="s">
        <v>0</v>
      </c>
      <c r="H2" s="350"/>
      <c r="I2" s="350"/>
      <c r="J2" s="28" t="s">
        <v>1</v>
      </c>
      <c r="K2" s="29"/>
      <c r="L2" s="30"/>
      <c r="M2" s="30"/>
    </row>
    <row r="3" spans="1:19" ht="12">
      <c r="A3" s="4"/>
      <c r="B3" s="25"/>
      <c r="C3" s="31"/>
      <c r="D3" s="32"/>
      <c r="E3" s="32"/>
      <c r="F3" s="32"/>
      <c r="G3" s="351" t="s">
        <v>2</v>
      </c>
      <c r="H3" s="352"/>
      <c r="I3" s="352"/>
      <c r="J3" s="18" t="s">
        <v>3</v>
      </c>
      <c r="K3" s="18" t="s">
        <v>4</v>
      </c>
      <c r="L3" s="112"/>
      <c r="M3" s="112"/>
      <c r="N3" s="182"/>
    </row>
    <row r="4" spans="1:19" ht="14.25" customHeight="1">
      <c r="A4" s="34"/>
      <c r="B4" s="398" t="s">
        <v>5</v>
      </c>
      <c r="C4" s="398"/>
      <c r="D4" s="398"/>
      <c r="E4" s="398"/>
      <c r="F4" s="399"/>
      <c r="G4" s="351" t="s">
        <v>6</v>
      </c>
      <c r="H4" s="352"/>
      <c r="I4" s="352"/>
      <c r="J4" s="359" t="s">
        <v>7</v>
      </c>
      <c r="K4" s="359"/>
      <c r="L4" s="14"/>
      <c r="M4" s="14"/>
    </row>
    <row r="5" spans="1:19" ht="12.75" thickBot="1">
      <c r="A5" s="4"/>
      <c r="B5" s="400"/>
      <c r="C5" s="400"/>
      <c r="D5" s="400"/>
      <c r="E5" s="400"/>
      <c r="F5" s="401"/>
      <c r="G5" s="351" t="s">
        <v>8</v>
      </c>
      <c r="H5" s="352"/>
      <c r="I5" s="352"/>
      <c r="J5" s="359" t="s">
        <v>9</v>
      </c>
      <c r="K5" s="359"/>
      <c r="L5" s="14"/>
      <c r="M5" s="14"/>
    </row>
    <row r="6" spans="1:19" ht="12.75" thickBot="1">
      <c r="A6" s="4"/>
      <c r="B6" s="35"/>
      <c r="C6" s="35"/>
      <c r="D6" s="35"/>
      <c r="E6" s="35"/>
      <c r="F6" s="35"/>
      <c r="G6" s="361"/>
      <c r="H6" s="361"/>
      <c r="I6" s="361"/>
      <c r="J6" s="36"/>
      <c r="K6" s="35"/>
      <c r="L6" s="14"/>
      <c r="M6" s="14"/>
    </row>
    <row r="7" spans="1:19" ht="12.75" thickBot="1">
      <c r="A7" s="4"/>
      <c r="B7" s="37" t="s">
        <v>10</v>
      </c>
      <c r="C7" s="38"/>
      <c r="D7" s="39"/>
      <c r="E7" s="39"/>
      <c r="F7" s="40"/>
      <c r="G7" s="41"/>
      <c r="H7" s="39"/>
      <c r="I7" s="41"/>
      <c r="J7" s="42"/>
      <c r="K7" s="39"/>
      <c r="L7" s="105"/>
      <c r="M7" s="14"/>
      <c r="N7" s="163"/>
    </row>
    <row r="8" spans="1:19" ht="12">
      <c r="A8" s="10"/>
      <c r="B8" s="39"/>
      <c r="C8" s="35"/>
      <c r="D8" s="35"/>
      <c r="E8" s="35"/>
      <c r="F8" s="11"/>
      <c r="G8" s="35"/>
      <c r="H8" s="35"/>
      <c r="I8" s="35"/>
      <c r="J8" s="26"/>
      <c r="K8" s="35"/>
      <c r="L8" s="14"/>
      <c r="M8" s="14"/>
      <c r="N8" s="163"/>
    </row>
    <row r="9" spans="1:19" ht="12">
      <c r="A9" s="10"/>
      <c r="B9" s="148" t="s">
        <v>11</v>
      </c>
      <c r="C9" s="355" t="s">
        <v>66</v>
      </c>
      <c r="D9" s="355"/>
      <c r="E9" s="355"/>
      <c r="F9" s="11"/>
      <c r="G9" s="354" t="s">
        <v>12</v>
      </c>
      <c r="H9" s="352"/>
      <c r="I9" s="352"/>
      <c r="J9" s="394">
        <v>43159</v>
      </c>
      <c r="K9" s="394"/>
      <c r="L9" s="79"/>
      <c r="M9" s="14"/>
      <c r="N9" s="163"/>
    </row>
    <row r="10" spans="1:19" ht="25.5" customHeight="1">
      <c r="A10" s="10"/>
      <c r="B10" s="148" t="s">
        <v>13</v>
      </c>
      <c r="C10" s="395" t="s">
        <v>67</v>
      </c>
      <c r="D10" s="395"/>
      <c r="E10" s="395"/>
      <c r="F10" s="11"/>
      <c r="G10" s="354" t="s">
        <v>14</v>
      </c>
      <c r="H10" s="352"/>
      <c r="I10" s="352"/>
      <c r="J10" s="396" t="s">
        <v>101</v>
      </c>
      <c r="K10" s="396"/>
      <c r="L10" s="397"/>
      <c r="M10" s="14"/>
      <c r="N10" s="163"/>
    </row>
    <row r="11" spans="1:19" ht="12">
      <c r="A11" s="10"/>
      <c r="B11" s="148" t="s">
        <v>15</v>
      </c>
      <c r="C11" s="353" t="s">
        <v>16</v>
      </c>
      <c r="D11" s="353"/>
      <c r="E11" s="353"/>
      <c r="F11" s="11"/>
      <c r="G11" s="354" t="s">
        <v>17</v>
      </c>
      <c r="H11" s="352"/>
      <c r="I11" s="352"/>
      <c r="J11" s="392">
        <v>1</v>
      </c>
      <c r="K11" s="392"/>
      <c r="L11" s="79"/>
      <c r="M11" s="14"/>
      <c r="N11" s="163"/>
    </row>
    <row r="12" spans="1:19" ht="12">
      <c r="A12" s="10"/>
      <c r="B12" s="148"/>
      <c r="C12" s="353"/>
      <c r="D12" s="353"/>
      <c r="E12" s="353"/>
      <c r="F12" s="11"/>
      <c r="G12" s="354" t="s">
        <v>18</v>
      </c>
      <c r="H12" s="352"/>
      <c r="I12" s="352"/>
      <c r="J12" s="392">
        <v>1</v>
      </c>
      <c r="K12" s="392"/>
      <c r="L12" s="79"/>
      <c r="M12" s="14"/>
      <c r="N12" s="163"/>
    </row>
    <row r="13" spans="1:19" ht="12">
      <c r="A13" s="10"/>
      <c r="B13" s="148" t="s">
        <v>19</v>
      </c>
      <c r="C13" s="353" t="s">
        <v>77</v>
      </c>
      <c r="D13" s="353"/>
      <c r="E13" s="353"/>
      <c r="F13" s="11"/>
      <c r="G13" s="354" t="s">
        <v>20</v>
      </c>
      <c r="H13" s="352"/>
      <c r="I13" s="352"/>
      <c r="J13" s="392" t="s">
        <v>92</v>
      </c>
      <c r="K13" s="392"/>
      <c r="L13" s="79"/>
      <c r="M13" s="14"/>
      <c r="N13" s="163"/>
    </row>
    <row r="14" spans="1:19" ht="12">
      <c r="A14" s="10"/>
      <c r="B14" s="146"/>
      <c r="C14" s="367"/>
      <c r="D14" s="367"/>
      <c r="E14" s="367"/>
      <c r="F14" s="11"/>
      <c r="G14" s="368"/>
      <c r="H14" s="369"/>
      <c r="I14" s="369"/>
      <c r="J14" s="80"/>
      <c r="K14" s="81"/>
      <c r="L14" s="82"/>
      <c r="M14" s="14"/>
      <c r="N14" s="163"/>
    </row>
    <row r="15" spans="1:19" ht="12">
      <c r="A15" s="10"/>
      <c r="B15" s="147" t="s">
        <v>21</v>
      </c>
      <c r="C15" s="370" t="s">
        <v>22</v>
      </c>
      <c r="D15" s="371"/>
      <c r="E15" s="371"/>
      <c r="F15" s="371"/>
      <c r="G15" s="371"/>
      <c r="H15" s="371"/>
      <c r="I15" s="372"/>
      <c r="J15" s="17" t="s">
        <v>23</v>
      </c>
      <c r="K15" s="373" t="s">
        <v>24</v>
      </c>
      <c r="L15" s="373"/>
      <c r="M15" s="14"/>
      <c r="O15" s="158" t="s">
        <v>52</v>
      </c>
      <c r="P15" s="158" t="s">
        <v>42</v>
      </c>
    </row>
    <row r="16" spans="1:19" ht="12">
      <c r="A16" s="4"/>
      <c r="B16" s="43"/>
      <c r="C16" s="44"/>
      <c r="D16" s="44"/>
      <c r="E16" s="44"/>
      <c r="F16" s="44"/>
      <c r="G16" s="44"/>
      <c r="H16" s="44"/>
      <c r="I16" s="44"/>
      <c r="J16" s="148"/>
      <c r="K16" s="45"/>
      <c r="L16" s="46"/>
      <c r="M16" s="14"/>
      <c r="O16" s="159">
        <v>0.15</v>
      </c>
      <c r="P16" s="159">
        <v>0.15</v>
      </c>
      <c r="Q16" s="158" t="s">
        <v>25</v>
      </c>
      <c r="R16" s="163" t="s">
        <v>26</v>
      </c>
      <c r="S16" s="169" t="s">
        <v>58</v>
      </c>
    </row>
    <row r="17" spans="1:22" ht="12">
      <c r="A17" s="4"/>
      <c r="B17" s="373" t="s">
        <v>93</v>
      </c>
      <c r="C17" s="373"/>
      <c r="D17" s="373"/>
      <c r="E17" s="373"/>
      <c r="F17" s="373"/>
      <c r="G17" s="373"/>
      <c r="H17" s="373"/>
      <c r="I17" s="373"/>
      <c r="J17" s="373"/>
      <c r="K17" s="373"/>
      <c r="L17" s="373"/>
      <c r="M17" s="14"/>
      <c r="O17" s="159">
        <v>0.1</v>
      </c>
      <c r="P17" s="159">
        <v>0.12</v>
      </c>
    </row>
    <row r="18" spans="1:22" ht="12">
      <c r="A18" s="4"/>
      <c r="B18" s="118"/>
      <c r="C18" s="117"/>
      <c r="D18" s="117"/>
      <c r="E18" s="117"/>
      <c r="F18" s="117"/>
      <c r="G18" s="117"/>
      <c r="H18" s="117"/>
      <c r="I18" s="117"/>
      <c r="J18" s="117"/>
      <c r="K18" s="117"/>
      <c r="L18" s="119"/>
      <c r="M18" s="14"/>
      <c r="O18" s="159">
        <v>0.15</v>
      </c>
      <c r="P18" s="159">
        <v>0.4</v>
      </c>
    </row>
    <row r="19" spans="1:22" ht="12">
      <c r="A19" s="4"/>
      <c r="B19" s="83"/>
      <c r="C19" s="393"/>
      <c r="D19" s="393"/>
      <c r="E19" s="393"/>
      <c r="F19" s="393"/>
      <c r="G19" s="393"/>
      <c r="H19" s="393"/>
      <c r="I19" s="393"/>
      <c r="J19" s="47"/>
      <c r="K19" s="374"/>
      <c r="L19" s="375"/>
      <c r="M19" s="14"/>
      <c r="O19" s="159"/>
      <c r="P19" s="159"/>
    </row>
    <row r="20" spans="1:22" ht="24.95" customHeight="1">
      <c r="A20" s="4"/>
      <c r="B20" s="127"/>
      <c r="C20" s="379"/>
      <c r="D20" s="379"/>
      <c r="E20" s="379"/>
      <c r="F20" s="379"/>
      <c r="G20" s="379"/>
      <c r="H20" s="379"/>
      <c r="I20" s="379"/>
      <c r="J20" s="84"/>
      <c r="K20" s="424"/>
      <c r="L20" s="425"/>
      <c r="M20" s="14"/>
      <c r="N20" s="160"/>
      <c r="O20" s="142"/>
      <c r="P20" s="145"/>
      <c r="Q20" s="145"/>
      <c r="R20" s="165"/>
      <c r="S20" s="170"/>
      <c r="T20" s="143"/>
    </row>
    <row r="21" spans="1:22" ht="27.6" customHeight="1">
      <c r="A21" s="10"/>
      <c r="B21" s="128">
        <v>2</v>
      </c>
      <c r="C21" s="379" t="s">
        <v>95</v>
      </c>
      <c r="D21" s="379"/>
      <c r="E21" s="379"/>
      <c r="F21" s="379"/>
      <c r="G21" s="379"/>
      <c r="H21" s="379"/>
      <c r="I21" s="379"/>
      <c r="J21" s="84"/>
      <c r="K21" s="424"/>
      <c r="L21" s="425"/>
      <c r="M21" s="14"/>
      <c r="N21" s="161"/>
      <c r="O21" s="142">
        <f t="shared" ref="O21:O24" si="0">N21*$O$18</f>
        <v>0</v>
      </c>
      <c r="P21" s="145">
        <f t="shared" ref="P21:P24" si="1">N21*$P$18</f>
        <v>0</v>
      </c>
      <c r="Q21" s="145">
        <f t="shared" ref="Q21:Q24" si="2">N21+O21+P21</f>
        <v>0</v>
      </c>
      <c r="R21" s="165">
        <f t="shared" ref="R21:R29" si="3">N21*B21</f>
        <v>0</v>
      </c>
      <c r="S21" s="170">
        <f t="shared" ref="S21:S29" si="4">O21*B21</f>
        <v>0</v>
      </c>
      <c r="T21" s="143"/>
    </row>
    <row r="22" spans="1:22" ht="27" customHeight="1">
      <c r="A22" s="10"/>
      <c r="B22" s="128">
        <v>2</v>
      </c>
      <c r="C22" s="379" t="s">
        <v>96</v>
      </c>
      <c r="D22" s="379"/>
      <c r="E22" s="379"/>
      <c r="F22" s="379"/>
      <c r="G22" s="379"/>
      <c r="H22" s="379"/>
      <c r="I22" s="379"/>
      <c r="J22" s="84"/>
      <c r="K22" s="424"/>
      <c r="L22" s="425"/>
      <c r="M22" s="14"/>
      <c r="N22" s="161"/>
      <c r="O22" s="142">
        <f t="shared" si="0"/>
        <v>0</v>
      </c>
      <c r="P22" s="145">
        <f t="shared" si="1"/>
        <v>0</v>
      </c>
      <c r="Q22" s="145">
        <f t="shared" si="2"/>
        <v>0</v>
      </c>
      <c r="R22" s="165">
        <f t="shared" si="3"/>
        <v>0</v>
      </c>
      <c r="S22" s="170">
        <f t="shared" si="4"/>
        <v>0</v>
      </c>
      <c r="T22" s="143"/>
    </row>
    <row r="23" spans="1:22" ht="21.75" customHeight="1">
      <c r="A23" s="4"/>
      <c r="B23" s="107">
        <v>1</v>
      </c>
      <c r="C23" s="501" t="s">
        <v>97</v>
      </c>
      <c r="D23" s="502"/>
      <c r="E23" s="502"/>
      <c r="F23" s="502"/>
      <c r="G23" s="502"/>
      <c r="H23" s="502"/>
      <c r="I23" s="503"/>
      <c r="J23" s="181"/>
      <c r="K23" s="380"/>
      <c r="L23" s="381"/>
      <c r="M23" s="14"/>
      <c r="N23" s="207"/>
      <c r="O23" s="142">
        <f>N23*$O$18</f>
        <v>0</v>
      </c>
      <c r="P23" s="145">
        <f>N23*$P$18</f>
        <v>0</v>
      </c>
      <c r="Q23" s="145">
        <f>N23+O23+P23</f>
        <v>0</v>
      </c>
      <c r="R23" s="165">
        <f>N23*B23</f>
        <v>0</v>
      </c>
      <c r="S23" s="170">
        <f>O23*B23</f>
        <v>0</v>
      </c>
      <c r="T23" s="174"/>
      <c r="U23" s="172"/>
      <c r="V23" s="172"/>
    </row>
    <row r="24" spans="1:22" s="12" customFormat="1" ht="24.95" customHeight="1">
      <c r="A24" s="10"/>
      <c r="B24" s="49">
        <v>1</v>
      </c>
      <c r="C24" s="379" t="s">
        <v>98</v>
      </c>
      <c r="D24" s="379"/>
      <c r="E24" s="379"/>
      <c r="F24" s="379"/>
      <c r="G24" s="379"/>
      <c r="H24" s="379"/>
      <c r="I24" s="379"/>
      <c r="J24" s="84"/>
      <c r="K24" s="424"/>
      <c r="L24" s="425"/>
      <c r="M24" s="51"/>
      <c r="N24" s="184" t="s">
        <v>99</v>
      </c>
      <c r="O24" s="142">
        <f t="shared" si="0"/>
        <v>22.5</v>
      </c>
      <c r="P24" s="145">
        <f t="shared" si="1"/>
        <v>60</v>
      </c>
      <c r="Q24" s="145">
        <f t="shared" si="2"/>
        <v>232.5</v>
      </c>
      <c r="R24" s="165">
        <f t="shared" si="3"/>
        <v>150</v>
      </c>
      <c r="S24" s="170">
        <f t="shared" si="4"/>
        <v>22.5</v>
      </c>
      <c r="T24" s="143"/>
    </row>
    <row r="25" spans="1:22" s="143" customFormat="1" ht="24.95" customHeight="1">
      <c r="A25" s="144"/>
      <c r="B25" s="139">
        <v>3</v>
      </c>
      <c r="C25" s="379" t="s">
        <v>100</v>
      </c>
      <c r="D25" s="379"/>
      <c r="E25" s="379"/>
      <c r="F25" s="379"/>
      <c r="G25" s="379"/>
      <c r="H25" s="379"/>
      <c r="I25" s="379"/>
      <c r="J25" s="84"/>
      <c r="K25" s="499"/>
      <c r="L25" s="500"/>
      <c r="M25" s="141"/>
      <c r="N25" s="208"/>
      <c r="O25" s="142"/>
      <c r="P25" s="145"/>
      <c r="Q25" s="145"/>
      <c r="R25" s="165">
        <f t="shared" si="3"/>
        <v>0</v>
      </c>
      <c r="S25" s="170">
        <f t="shared" si="4"/>
        <v>0</v>
      </c>
    </row>
    <row r="26" spans="1:22" ht="24.95" customHeight="1">
      <c r="A26" s="10"/>
      <c r="B26" s="194"/>
      <c r="C26" s="385"/>
      <c r="D26" s="386"/>
      <c r="E26" s="386"/>
      <c r="F26" s="386"/>
      <c r="G26" s="386"/>
      <c r="H26" s="386"/>
      <c r="I26" s="387"/>
      <c r="J26" s="140"/>
      <c r="K26" s="499"/>
      <c r="L26" s="500"/>
      <c r="M26" s="10"/>
      <c r="N26" s="209"/>
      <c r="O26" s="142"/>
      <c r="P26" s="145"/>
      <c r="Q26" s="145"/>
      <c r="R26" s="165">
        <f t="shared" si="3"/>
        <v>0</v>
      </c>
      <c r="S26" s="170">
        <f t="shared" si="4"/>
        <v>0</v>
      </c>
    </row>
    <row r="27" spans="1:22" s="12" customFormat="1" ht="24.95" customHeight="1">
      <c r="A27" s="4"/>
      <c r="B27" s="127"/>
      <c r="C27" s="379"/>
      <c r="D27" s="379"/>
      <c r="E27" s="379"/>
      <c r="F27" s="379"/>
      <c r="G27" s="379"/>
      <c r="H27" s="379"/>
      <c r="I27" s="379"/>
      <c r="J27" s="140"/>
      <c r="K27" s="499"/>
      <c r="L27" s="500"/>
      <c r="M27" s="14"/>
      <c r="N27" s="183"/>
      <c r="O27" s="142"/>
      <c r="P27" s="145"/>
      <c r="Q27" s="145"/>
      <c r="R27" s="165">
        <f t="shared" si="3"/>
        <v>0</v>
      </c>
      <c r="S27" s="170">
        <f t="shared" si="4"/>
        <v>0</v>
      </c>
      <c r="T27" s="143"/>
    </row>
    <row r="28" spans="1:22" ht="24.95" customHeight="1">
      <c r="A28" s="4"/>
      <c r="B28" s="127"/>
      <c r="C28" s="379"/>
      <c r="D28" s="379"/>
      <c r="E28" s="379"/>
      <c r="F28" s="379"/>
      <c r="G28" s="379"/>
      <c r="H28" s="379"/>
      <c r="I28" s="379"/>
      <c r="J28" s="84"/>
      <c r="K28" s="424"/>
      <c r="L28" s="425"/>
      <c r="M28" s="14"/>
      <c r="N28" s="160"/>
      <c r="O28" s="142"/>
      <c r="P28" s="145"/>
      <c r="Q28" s="145"/>
      <c r="R28" s="165">
        <f t="shared" si="3"/>
        <v>0</v>
      </c>
      <c r="S28" s="170">
        <f t="shared" si="4"/>
        <v>0</v>
      </c>
      <c r="T28" s="143"/>
    </row>
    <row r="29" spans="1:22" s="12" customFormat="1" ht="24.95" customHeight="1">
      <c r="A29" s="4"/>
      <c r="B29" s="127"/>
      <c r="C29" s="379"/>
      <c r="D29" s="379"/>
      <c r="E29" s="379"/>
      <c r="F29" s="379"/>
      <c r="G29" s="379"/>
      <c r="H29" s="379"/>
      <c r="I29" s="379"/>
      <c r="J29" s="84"/>
      <c r="K29" s="424"/>
      <c r="L29" s="425"/>
      <c r="M29" s="14"/>
      <c r="N29" s="183"/>
      <c r="O29" s="142"/>
      <c r="P29" s="145"/>
      <c r="Q29" s="145"/>
      <c r="R29" s="165">
        <f t="shared" si="3"/>
        <v>0</v>
      </c>
      <c r="S29" s="170">
        <f t="shared" si="4"/>
        <v>0</v>
      </c>
      <c r="T29" s="143"/>
    </row>
    <row r="30" spans="1:22" ht="24.95" customHeight="1">
      <c r="A30" s="10"/>
      <c r="B30" s="50"/>
      <c r="C30" s="379"/>
      <c r="D30" s="379"/>
      <c r="E30" s="379"/>
      <c r="F30" s="379"/>
      <c r="G30" s="379"/>
      <c r="H30" s="379"/>
      <c r="I30" s="379"/>
      <c r="J30" s="3" t="s">
        <v>24</v>
      </c>
      <c r="K30" s="433">
        <f>SUM(K20:L28)</f>
        <v>0</v>
      </c>
      <c r="L30" s="434"/>
      <c r="M30" s="51"/>
      <c r="N30" s="162"/>
      <c r="O30" s="171"/>
      <c r="P30" s="55"/>
      <c r="Q30" s="55"/>
      <c r="R30" s="56"/>
      <c r="S30" s="166"/>
      <c r="T30" s="55"/>
    </row>
    <row r="31" spans="1:22" ht="24.95" customHeight="1">
      <c r="A31" s="10"/>
      <c r="B31" s="50"/>
      <c r="C31" s="379" t="s">
        <v>94</v>
      </c>
      <c r="D31" s="379"/>
      <c r="E31" s="379"/>
      <c r="F31" s="379"/>
      <c r="G31" s="379"/>
      <c r="H31" s="379"/>
      <c r="I31" s="379"/>
      <c r="J31" s="2"/>
      <c r="K31" s="480"/>
      <c r="L31" s="481"/>
      <c r="M31" s="51"/>
      <c r="O31" s="162" t="s">
        <v>59</v>
      </c>
      <c r="P31" s="171">
        <f>SUM(R21:R30)</f>
        <v>150</v>
      </c>
      <c r="Q31" s="55"/>
      <c r="R31" s="56"/>
      <c r="S31" s="166"/>
      <c r="T31" s="55"/>
    </row>
    <row r="32" spans="1:22" ht="24.95" customHeight="1">
      <c r="A32" s="10"/>
      <c r="B32" s="50"/>
      <c r="C32" s="492"/>
      <c r="D32" s="492"/>
      <c r="E32" s="492"/>
      <c r="F32" s="492"/>
      <c r="G32" s="492"/>
      <c r="H32" s="492"/>
      <c r="I32" s="492"/>
      <c r="J32" s="2"/>
      <c r="K32" s="480"/>
      <c r="L32" s="481"/>
      <c r="M32" s="51"/>
      <c r="O32" s="158" t="s">
        <v>56</v>
      </c>
      <c r="P32" s="171">
        <f>SUM(S21:S30)</f>
        <v>22.5</v>
      </c>
      <c r="Q32" s="55"/>
      <c r="R32" s="56"/>
      <c r="S32" s="166"/>
      <c r="T32" s="55"/>
    </row>
    <row r="33" spans="1:20" ht="24.95" customHeight="1">
      <c r="A33" s="10"/>
      <c r="B33" s="50"/>
      <c r="C33" s="492"/>
      <c r="D33" s="492"/>
      <c r="E33" s="492"/>
      <c r="F33" s="492"/>
      <c r="G33" s="492"/>
      <c r="H33" s="492"/>
      <c r="I33" s="492"/>
      <c r="J33" s="2"/>
      <c r="K33" s="480"/>
      <c r="L33" s="481"/>
      <c r="M33" s="51"/>
      <c r="P33" s="171"/>
      <c r="Q33" s="55"/>
      <c r="R33" s="56"/>
      <c r="S33" s="166"/>
      <c r="T33" s="55"/>
    </row>
    <row r="34" spans="1:20" ht="24.95" customHeight="1">
      <c r="A34" s="10"/>
      <c r="B34" s="50"/>
      <c r="C34" s="155"/>
      <c r="D34" s="156"/>
      <c r="E34" s="156"/>
      <c r="F34" s="156"/>
      <c r="G34" s="156"/>
      <c r="H34" s="156"/>
      <c r="I34" s="157"/>
      <c r="J34" s="2"/>
      <c r="K34" s="134"/>
      <c r="L34" s="133"/>
      <c r="M34" s="51"/>
      <c r="Q34" s="55"/>
      <c r="R34" s="56"/>
      <c r="S34" s="166"/>
      <c r="T34" s="55"/>
    </row>
    <row r="35" spans="1:20" ht="24.95" customHeight="1">
      <c r="A35" s="10"/>
      <c r="B35" s="50"/>
      <c r="C35" s="155"/>
      <c r="D35" s="156"/>
      <c r="E35" s="156"/>
      <c r="F35" s="156"/>
      <c r="G35" s="156"/>
      <c r="H35" s="156"/>
      <c r="I35" s="157"/>
      <c r="J35" s="2"/>
      <c r="K35" s="134"/>
      <c r="L35" s="133"/>
      <c r="M35" s="51"/>
      <c r="O35" s="158" t="s">
        <v>60</v>
      </c>
      <c r="P35" s="203">
        <f>K30-P31-P32</f>
        <v>-172.5</v>
      </c>
      <c r="Q35" s="55"/>
      <c r="R35" s="56"/>
      <c r="S35" s="166"/>
      <c r="T35" s="55"/>
    </row>
    <row r="36" spans="1:20" ht="24.95" customHeight="1">
      <c r="A36" s="10"/>
      <c r="B36" s="50"/>
      <c r="C36" s="155"/>
      <c r="D36" s="156"/>
      <c r="E36" s="156"/>
      <c r="F36" s="156"/>
      <c r="G36" s="156"/>
      <c r="H36" s="156"/>
      <c r="I36" s="157"/>
      <c r="J36" s="2"/>
      <c r="K36" s="134"/>
      <c r="L36" s="133"/>
      <c r="M36" s="51"/>
      <c r="O36" s="55"/>
      <c r="P36" s="55"/>
      <c r="Q36" s="55"/>
      <c r="R36" s="56"/>
      <c r="S36" s="166"/>
      <c r="T36" s="55"/>
    </row>
    <row r="37" spans="1:20" ht="27.75" customHeight="1">
      <c r="A37" s="10"/>
      <c r="B37" s="50"/>
      <c r="C37" s="155"/>
      <c r="D37" s="156"/>
      <c r="E37" s="156"/>
      <c r="F37" s="156"/>
      <c r="G37" s="156"/>
      <c r="H37" s="156"/>
      <c r="I37" s="157"/>
      <c r="J37" s="2"/>
      <c r="K37" s="134"/>
      <c r="L37" s="133"/>
      <c r="M37" s="51"/>
      <c r="O37" s="55"/>
      <c r="P37" s="55"/>
      <c r="Q37" s="55"/>
      <c r="R37" s="56"/>
      <c r="S37" s="166"/>
      <c r="T37" s="55"/>
    </row>
    <row r="38" spans="1:20" ht="24.75" customHeight="1">
      <c r="A38" s="13"/>
      <c r="B38" s="136"/>
      <c r="C38" s="435"/>
      <c r="D38" s="435"/>
      <c r="E38" s="435"/>
      <c r="F38" s="435"/>
      <c r="G38" s="435"/>
      <c r="H38" s="435"/>
      <c r="I38" s="435"/>
      <c r="J38" s="135"/>
      <c r="K38" s="436"/>
      <c r="L38" s="437"/>
      <c r="M38" s="137"/>
      <c r="O38" s="55"/>
      <c r="P38" s="55"/>
      <c r="Q38" s="55"/>
      <c r="R38" s="56"/>
      <c r="S38" s="166"/>
      <c r="T38" s="55"/>
    </row>
    <row r="39" spans="1:20" ht="24.75" customHeight="1">
      <c r="A39" s="10"/>
      <c r="B39" s="188"/>
      <c r="C39" s="190"/>
      <c r="D39" s="190"/>
      <c r="E39" s="190"/>
      <c r="F39" s="190"/>
      <c r="G39" s="190"/>
      <c r="H39" s="190"/>
      <c r="I39" s="190"/>
      <c r="J39" s="191"/>
      <c r="K39" s="192"/>
      <c r="L39" s="193"/>
      <c r="M39" s="51"/>
      <c r="O39" s="55"/>
      <c r="P39" s="55"/>
      <c r="Q39" s="55"/>
      <c r="R39" s="56"/>
      <c r="S39" s="166"/>
      <c r="T39" s="55"/>
    </row>
    <row r="40" spans="1:20" s="55" customFormat="1" ht="12">
      <c r="A40" s="87"/>
      <c r="B40" s="464" t="s">
        <v>38</v>
      </c>
      <c r="C40" s="464"/>
      <c r="D40" s="464"/>
      <c r="E40" s="464"/>
      <c r="F40" s="464"/>
      <c r="G40" s="464"/>
      <c r="H40" s="464"/>
      <c r="I40" s="464"/>
      <c r="J40" s="464"/>
      <c r="K40" s="464"/>
      <c r="L40" s="464"/>
      <c r="M40" s="54"/>
      <c r="R40" s="56"/>
      <c r="S40" s="166"/>
    </row>
    <row r="41" spans="1:20" s="55" customFormat="1" ht="9.75" customHeight="1">
      <c r="A41" s="87"/>
      <c r="B41" s="57"/>
      <c r="C41" s="58"/>
      <c r="D41" s="58"/>
      <c r="E41" s="58"/>
      <c r="F41" s="58"/>
      <c r="G41" s="58"/>
      <c r="H41" s="58"/>
      <c r="I41" s="58"/>
      <c r="J41" s="59"/>
      <c r="K41" s="58"/>
      <c r="L41" s="60"/>
      <c r="M41" s="54"/>
      <c r="R41" s="56"/>
      <c r="S41" s="166"/>
    </row>
    <row r="42" spans="1:20" ht="12.75" customHeight="1">
      <c r="A42" s="87"/>
      <c r="B42" s="61"/>
      <c r="C42" s="465" t="s">
        <v>93</v>
      </c>
      <c r="D42" s="465"/>
      <c r="E42" s="465"/>
      <c r="F42" s="465"/>
      <c r="G42" s="465"/>
      <c r="H42" s="465"/>
      <c r="I42" s="465"/>
      <c r="J42" s="62"/>
      <c r="K42" s="63"/>
      <c r="L42" s="64"/>
      <c r="M42" s="54"/>
      <c r="O42" s="55"/>
      <c r="P42" s="55"/>
      <c r="Q42" s="55"/>
      <c r="R42" s="56"/>
      <c r="S42" s="166"/>
      <c r="T42" s="55"/>
    </row>
    <row r="43" spans="1:20" ht="11.45" hidden="1" customHeight="1">
      <c r="A43" s="87"/>
      <c r="B43" s="61"/>
      <c r="C43" s="366"/>
      <c r="D43" s="366"/>
      <c r="E43" s="366"/>
      <c r="F43" s="366"/>
      <c r="G43" s="366"/>
      <c r="H43" s="366"/>
      <c r="I43" s="366"/>
      <c r="J43" s="62"/>
      <c r="K43" s="63"/>
      <c r="L43" s="64"/>
      <c r="M43" s="54"/>
    </row>
    <row r="44" spans="1:20" ht="6.75" customHeight="1">
      <c r="A44" s="87"/>
      <c r="B44" s="61"/>
      <c r="C44" s="154"/>
      <c r="D44" s="154"/>
      <c r="E44" s="154"/>
      <c r="F44" s="154"/>
      <c r="G44" s="154"/>
      <c r="H44" s="154"/>
      <c r="I44" s="154"/>
      <c r="J44" s="62"/>
      <c r="K44" s="63"/>
      <c r="L44" s="64"/>
      <c r="M44" s="54"/>
    </row>
    <row r="45" spans="1:20" ht="12">
      <c r="A45" s="87"/>
      <c r="B45" s="61"/>
      <c r="C45" s="65" t="s">
        <v>28</v>
      </c>
      <c r="D45" s="33"/>
      <c r="E45" s="33"/>
      <c r="F45" s="33"/>
      <c r="G45" s="33"/>
      <c r="H45" s="33"/>
      <c r="I45" s="33"/>
      <c r="J45" s="62"/>
      <c r="K45" s="66">
        <f>K30</f>
        <v>0</v>
      </c>
      <c r="L45" s="64"/>
      <c r="M45" s="54"/>
    </row>
    <row r="46" spans="1:20" ht="12">
      <c r="A46" s="87"/>
      <c r="B46" s="61"/>
      <c r="C46" s="33"/>
      <c r="D46" s="33"/>
      <c r="E46" s="33"/>
      <c r="F46" s="33"/>
      <c r="G46" s="33"/>
      <c r="H46" s="33"/>
      <c r="I46" s="33"/>
      <c r="J46" s="62"/>
      <c r="K46" s="63"/>
      <c r="L46" s="64"/>
      <c r="M46" s="54"/>
    </row>
    <row r="47" spans="1:20" ht="12">
      <c r="A47" s="87"/>
      <c r="B47" s="61"/>
      <c r="C47" s="67"/>
      <c r="D47" s="33"/>
      <c r="E47" s="33"/>
      <c r="F47" s="33"/>
      <c r="G47" s="33"/>
      <c r="H47" s="33"/>
      <c r="I47" s="33"/>
      <c r="J47" s="62"/>
      <c r="K47" s="63"/>
      <c r="L47" s="64"/>
      <c r="M47" s="54"/>
    </row>
    <row r="48" spans="1:20" ht="12">
      <c r="A48" s="87"/>
      <c r="B48" s="61"/>
      <c r="C48" s="67"/>
      <c r="D48" s="33"/>
      <c r="E48" s="33"/>
      <c r="F48" s="33"/>
      <c r="G48" s="33"/>
      <c r="H48" s="33"/>
      <c r="I48" s="33"/>
      <c r="J48" s="62"/>
      <c r="K48" s="63"/>
      <c r="L48" s="64"/>
      <c r="M48" s="54"/>
    </row>
    <row r="49" spans="1:20" ht="12">
      <c r="A49" s="87"/>
      <c r="B49" s="61"/>
      <c r="C49" s="67"/>
      <c r="D49" s="33"/>
      <c r="E49" s="33"/>
      <c r="F49" s="33"/>
      <c r="G49" s="33"/>
      <c r="H49" s="33"/>
      <c r="I49" s="33"/>
      <c r="J49" s="62"/>
      <c r="K49" s="63"/>
      <c r="L49" s="64"/>
      <c r="M49" s="54"/>
    </row>
    <row r="50" spans="1:20" s="55" customFormat="1" ht="12">
      <c r="A50" s="87"/>
      <c r="B50" s="204" t="s">
        <v>90</v>
      </c>
      <c r="C50" s="205"/>
      <c r="D50" s="33"/>
      <c r="E50" s="33"/>
      <c r="F50" s="33"/>
      <c r="G50" s="33"/>
      <c r="H50" s="33"/>
      <c r="I50" s="33"/>
      <c r="J50" s="98"/>
      <c r="K50" s="66"/>
      <c r="L50" s="68"/>
      <c r="M50" s="54"/>
      <c r="O50" s="158"/>
      <c r="P50" s="158"/>
      <c r="Q50" s="158"/>
      <c r="R50" s="163"/>
      <c r="S50" s="169"/>
      <c r="T50" s="5"/>
    </row>
    <row r="51" spans="1:20" s="55" customFormat="1" ht="12">
      <c r="A51" s="53"/>
      <c r="B51" s="152"/>
      <c r="C51" s="153"/>
      <c r="D51" s="33"/>
      <c r="E51" s="33"/>
      <c r="F51" s="33"/>
      <c r="G51" s="33"/>
      <c r="H51" s="33"/>
      <c r="I51" s="33"/>
      <c r="J51" s="115"/>
      <c r="K51" s="116"/>
      <c r="L51" s="64"/>
      <c r="M51" s="54"/>
      <c r="N51" s="158"/>
      <c r="O51" s="158"/>
      <c r="P51" s="158"/>
      <c r="Q51" s="158"/>
      <c r="R51" s="163"/>
      <c r="S51" s="169"/>
      <c r="T51" s="5"/>
    </row>
    <row r="52" spans="1:20" s="55" customFormat="1" ht="12">
      <c r="A52" s="87"/>
      <c r="B52" s="461"/>
      <c r="C52" s="462"/>
      <c r="D52" s="33"/>
      <c r="E52" s="33"/>
      <c r="F52" s="33"/>
      <c r="G52" s="33"/>
      <c r="H52" s="33"/>
      <c r="I52" s="33"/>
      <c r="J52" s="98"/>
      <c r="K52" s="63"/>
      <c r="L52" s="64"/>
      <c r="M52" s="54"/>
      <c r="O52" s="158"/>
      <c r="P52" s="158"/>
      <c r="Q52" s="158"/>
      <c r="R52" s="163"/>
      <c r="S52" s="169"/>
      <c r="T52" s="5"/>
    </row>
    <row r="53" spans="1:20" s="55" customFormat="1" ht="12">
      <c r="A53" s="87"/>
      <c r="B53" s="461"/>
      <c r="C53" s="462"/>
      <c r="D53" s="33"/>
      <c r="E53" s="33"/>
      <c r="F53" s="33"/>
      <c r="G53" s="33"/>
      <c r="H53" s="33"/>
      <c r="I53" s="33"/>
      <c r="J53" s="98"/>
      <c r="K53" s="63"/>
      <c r="L53" s="64"/>
      <c r="M53" s="54"/>
      <c r="O53" s="158"/>
      <c r="P53" s="158"/>
      <c r="Q53" s="158"/>
      <c r="R53" s="163"/>
      <c r="S53" s="169"/>
      <c r="T53" s="5"/>
    </row>
    <row r="54" spans="1:20" s="55" customFormat="1" ht="12">
      <c r="A54" s="87"/>
      <c r="B54" s="152" t="s">
        <v>64</v>
      </c>
      <c r="C54" s="153"/>
      <c r="D54" s="33"/>
      <c r="E54" s="33"/>
      <c r="F54" s="33"/>
      <c r="G54" s="33"/>
      <c r="H54" s="33"/>
      <c r="I54" s="33"/>
      <c r="J54" s="98"/>
      <c r="K54" s="63"/>
      <c r="L54" s="64"/>
      <c r="M54" s="54"/>
      <c r="O54" s="158"/>
      <c r="P54" s="158"/>
      <c r="Q54" s="158"/>
      <c r="R54" s="163"/>
      <c r="S54" s="169"/>
      <c r="T54" s="5"/>
    </row>
    <row r="55" spans="1:20" s="55" customFormat="1" ht="12">
      <c r="A55" s="87"/>
      <c r="B55" s="461" t="s">
        <v>47</v>
      </c>
      <c r="C55" s="462"/>
      <c r="D55" s="33"/>
      <c r="E55" s="33"/>
      <c r="F55" s="33"/>
      <c r="G55" s="33"/>
      <c r="H55" s="33"/>
      <c r="I55" s="33"/>
      <c r="J55" s="98"/>
      <c r="K55" s="63"/>
      <c r="L55" s="64"/>
      <c r="M55" s="54"/>
      <c r="O55" s="158"/>
      <c r="P55" s="158"/>
      <c r="Q55" s="158"/>
      <c r="R55" s="163"/>
      <c r="S55" s="169"/>
      <c r="T55" s="5"/>
    </row>
    <row r="56" spans="1:20" s="55" customFormat="1" ht="12">
      <c r="A56" s="87"/>
      <c r="B56" s="461" t="s">
        <v>48</v>
      </c>
      <c r="C56" s="462"/>
      <c r="D56" s="33"/>
      <c r="E56" s="33"/>
      <c r="F56" s="33"/>
      <c r="G56" s="33"/>
      <c r="H56" s="33"/>
      <c r="I56" s="33"/>
      <c r="J56" s="98"/>
      <c r="K56" s="63"/>
      <c r="L56" s="64"/>
      <c r="M56" s="54"/>
      <c r="O56" s="158"/>
      <c r="P56" s="158"/>
      <c r="Q56" s="158"/>
      <c r="R56" s="163"/>
      <c r="S56" s="169"/>
      <c r="T56" s="5"/>
    </row>
    <row r="57" spans="1:20" s="55" customFormat="1" ht="12">
      <c r="A57" s="87"/>
      <c r="B57" s="461" t="s">
        <v>65</v>
      </c>
      <c r="C57" s="462"/>
      <c r="D57" s="33"/>
      <c r="E57" s="33"/>
      <c r="F57" s="33"/>
      <c r="G57" s="33"/>
      <c r="H57" s="33"/>
      <c r="I57" s="33"/>
      <c r="J57" s="98"/>
      <c r="K57" s="63"/>
      <c r="L57" s="64"/>
      <c r="M57" s="54"/>
      <c r="O57" s="158"/>
      <c r="P57" s="158"/>
      <c r="Q57" s="158"/>
      <c r="R57" s="163"/>
      <c r="S57" s="169"/>
      <c r="T57" s="5"/>
    </row>
    <row r="58" spans="1:20" s="55" customFormat="1" ht="12">
      <c r="A58" s="87"/>
      <c r="B58" s="461" t="s">
        <v>29</v>
      </c>
      <c r="C58" s="462"/>
      <c r="D58" s="33"/>
      <c r="E58" s="33"/>
      <c r="F58" s="33"/>
      <c r="G58" s="33"/>
      <c r="H58" s="33"/>
      <c r="I58" s="33"/>
      <c r="J58" s="98"/>
      <c r="K58" s="63"/>
      <c r="L58" s="64"/>
      <c r="M58" s="54"/>
      <c r="O58" s="158"/>
      <c r="P58" s="158"/>
      <c r="Q58" s="158"/>
      <c r="R58" s="163"/>
      <c r="S58" s="169"/>
      <c r="T58" s="5"/>
    </row>
    <row r="59" spans="1:20" s="55" customFormat="1" ht="12">
      <c r="A59" s="87"/>
      <c r="B59" s="461" t="s">
        <v>40</v>
      </c>
      <c r="C59" s="462"/>
      <c r="D59" s="33"/>
      <c r="E59" s="33"/>
      <c r="F59" s="33"/>
      <c r="G59" s="33"/>
      <c r="H59" s="33"/>
      <c r="I59" s="33"/>
      <c r="J59" s="98"/>
      <c r="K59" s="63"/>
      <c r="L59" s="64"/>
      <c r="M59" s="54"/>
      <c r="O59" s="158"/>
      <c r="P59" s="158"/>
      <c r="Q59" s="158"/>
      <c r="R59" s="163"/>
      <c r="S59" s="169"/>
      <c r="T59" s="5"/>
    </row>
    <row r="60" spans="1:20" s="55" customFormat="1" ht="12">
      <c r="A60" s="87"/>
      <c r="B60" s="461" t="s">
        <v>39</v>
      </c>
      <c r="C60" s="462"/>
      <c r="D60" s="33"/>
      <c r="E60" s="33"/>
      <c r="F60" s="33"/>
      <c r="G60" s="33"/>
      <c r="H60" s="33"/>
      <c r="I60" s="33"/>
      <c r="J60" s="98"/>
      <c r="K60" s="63"/>
      <c r="L60" s="64"/>
      <c r="M60" s="54"/>
      <c r="O60" s="158"/>
      <c r="P60" s="158"/>
      <c r="Q60" s="158"/>
      <c r="R60" s="163"/>
      <c r="S60" s="169"/>
      <c r="T60" s="5"/>
    </row>
    <row r="61" spans="1:20" s="55" customFormat="1" ht="12">
      <c r="A61" s="87"/>
      <c r="B61" s="461"/>
      <c r="C61" s="462"/>
      <c r="D61" s="129"/>
      <c r="E61" s="129"/>
      <c r="F61" s="129"/>
      <c r="G61" s="129"/>
      <c r="H61" s="129"/>
      <c r="I61" s="129"/>
      <c r="J61" s="98"/>
      <c r="K61" s="63"/>
      <c r="L61" s="64"/>
      <c r="M61" s="54"/>
      <c r="O61" s="158"/>
      <c r="P61" s="158"/>
      <c r="Q61" s="158"/>
      <c r="R61" s="163"/>
      <c r="S61" s="169"/>
      <c r="T61" s="5"/>
    </row>
    <row r="62" spans="1:20" s="55" customFormat="1" ht="12">
      <c r="A62" s="87"/>
      <c r="B62" s="61"/>
      <c r="C62" s="129"/>
      <c r="D62" s="129"/>
      <c r="E62" s="129"/>
      <c r="F62" s="129"/>
      <c r="G62" s="129"/>
      <c r="H62" s="129"/>
      <c r="I62" s="129"/>
      <c r="J62" s="98"/>
      <c r="K62" s="63"/>
      <c r="L62" s="64"/>
      <c r="M62" s="54"/>
      <c r="O62" s="158"/>
      <c r="P62" s="158"/>
      <c r="Q62" s="158"/>
      <c r="R62" s="163"/>
      <c r="S62" s="169"/>
      <c r="T62" s="5"/>
    </row>
    <row r="63" spans="1:20" s="55" customFormat="1" ht="12">
      <c r="A63" s="87"/>
      <c r="B63" s="152" t="s">
        <v>50</v>
      </c>
      <c r="C63" s="153"/>
      <c r="D63" s="153"/>
      <c r="E63" s="153"/>
      <c r="F63" s="153"/>
      <c r="G63" s="153"/>
      <c r="H63" s="129"/>
      <c r="I63" s="129"/>
      <c r="J63" s="98"/>
      <c r="K63" s="63"/>
      <c r="L63" s="64"/>
      <c r="M63" s="54"/>
      <c r="O63" s="158"/>
      <c r="P63" s="158"/>
      <c r="Q63" s="158"/>
      <c r="R63" s="163"/>
      <c r="S63" s="169"/>
      <c r="T63" s="5"/>
    </row>
    <row r="64" spans="1:20" s="55" customFormat="1" ht="12">
      <c r="A64" s="87"/>
      <c r="B64" s="61"/>
      <c r="C64" s="129"/>
      <c r="D64" s="129"/>
      <c r="E64" s="129"/>
      <c r="F64" s="129"/>
      <c r="G64" s="129"/>
      <c r="H64" s="129"/>
      <c r="I64" s="129"/>
      <c r="J64" s="62"/>
      <c r="K64" s="63"/>
      <c r="L64" s="64"/>
      <c r="M64" s="54"/>
      <c r="O64" s="158"/>
      <c r="P64" s="158"/>
      <c r="Q64" s="158"/>
      <c r="R64" s="163"/>
      <c r="S64" s="169"/>
      <c r="T64" s="5"/>
    </row>
    <row r="65" spans="1:20" s="55" customFormat="1" ht="12">
      <c r="A65" s="87"/>
      <c r="B65" s="61"/>
      <c r="C65" s="129"/>
      <c r="D65" s="129"/>
      <c r="E65" s="129"/>
      <c r="F65" s="129"/>
      <c r="G65" s="129"/>
      <c r="H65" s="129"/>
      <c r="I65" s="129"/>
      <c r="J65" s="62"/>
      <c r="K65" s="63"/>
      <c r="L65" s="64"/>
      <c r="M65" s="54"/>
      <c r="O65" s="158"/>
      <c r="P65" s="158"/>
      <c r="Q65" s="158"/>
      <c r="R65" s="163"/>
      <c r="S65" s="169"/>
      <c r="T65" s="5"/>
    </row>
    <row r="66" spans="1:20" s="55" customFormat="1" ht="12">
      <c r="A66" s="87"/>
      <c r="B66" s="61"/>
      <c r="C66" s="129"/>
      <c r="D66" s="129"/>
      <c r="E66" s="129"/>
      <c r="F66" s="129"/>
      <c r="G66" s="129"/>
      <c r="H66" s="129"/>
      <c r="I66" s="129"/>
      <c r="J66" s="62"/>
      <c r="K66" s="63"/>
      <c r="L66" s="64"/>
      <c r="M66" s="54"/>
      <c r="O66" s="158"/>
      <c r="P66" s="158"/>
      <c r="Q66" s="158"/>
      <c r="R66" s="163"/>
      <c r="S66" s="169"/>
      <c r="T66" s="5"/>
    </row>
    <row r="67" spans="1:20" s="55" customFormat="1" ht="12">
      <c r="A67" s="87"/>
      <c r="B67" s="61"/>
      <c r="C67" s="129"/>
      <c r="D67" s="129"/>
      <c r="E67" s="129"/>
      <c r="F67" s="129"/>
      <c r="G67" s="129"/>
      <c r="H67" s="129"/>
      <c r="I67" s="129"/>
      <c r="J67" s="62"/>
      <c r="K67" s="63"/>
      <c r="L67" s="64"/>
      <c r="M67" s="54"/>
      <c r="O67" s="158"/>
      <c r="P67" s="158"/>
      <c r="Q67" s="158"/>
      <c r="R67" s="163"/>
      <c r="S67" s="169"/>
      <c r="T67" s="5"/>
    </row>
    <row r="68" spans="1:20" s="55" customFormat="1" ht="12">
      <c r="A68" s="87"/>
      <c r="B68" s="61"/>
      <c r="C68" s="129"/>
      <c r="D68" s="129"/>
      <c r="E68" s="129"/>
      <c r="F68" s="129"/>
      <c r="G68" s="129"/>
      <c r="H68" s="129"/>
      <c r="I68" s="129"/>
      <c r="J68" s="62"/>
      <c r="K68" s="63"/>
      <c r="L68" s="64"/>
      <c r="M68" s="54"/>
      <c r="O68" s="158"/>
      <c r="P68" s="158"/>
      <c r="Q68" s="158"/>
      <c r="R68" s="163"/>
      <c r="S68" s="169"/>
      <c r="T68" s="5"/>
    </row>
    <row r="69" spans="1:20" s="55" customFormat="1" ht="12">
      <c r="A69" s="87"/>
      <c r="B69" s="61"/>
      <c r="C69" s="129"/>
      <c r="D69" s="129"/>
      <c r="E69" s="129"/>
      <c r="F69" s="129"/>
      <c r="G69" s="129"/>
      <c r="H69" s="129"/>
      <c r="I69" s="129"/>
      <c r="J69" s="62"/>
      <c r="K69" s="63"/>
      <c r="L69" s="64"/>
      <c r="M69" s="54"/>
      <c r="O69" s="158"/>
      <c r="P69" s="158"/>
      <c r="Q69" s="158"/>
      <c r="R69" s="163"/>
      <c r="S69" s="169"/>
      <c r="T69" s="5"/>
    </row>
    <row r="70" spans="1:20" s="55" customFormat="1" ht="12">
      <c r="A70" s="87"/>
      <c r="B70" s="61"/>
      <c r="C70" s="129"/>
      <c r="D70" s="129"/>
      <c r="E70" s="129"/>
      <c r="F70" s="129"/>
      <c r="G70" s="129"/>
      <c r="H70" s="129"/>
      <c r="I70" s="129"/>
      <c r="J70" s="62"/>
      <c r="K70" s="63"/>
      <c r="L70" s="64"/>
      <c r="M70" s="54"/>
      <c r="O70" s="158"/>
      <c r="P70" s="158"/>
      <c r="Q70" s="158"/>
      <c r="R70" s="163"/>
      <c r="S70" s="169"/>
      <c r="T70" s="5"/>
    </row>
    <row r="71" spans="1:20" s="55" customFormat="1" ht="12">
      <c r="A71" s="87"/>
      <c r="B71" s="61"/>
      <c r="C71" s="129"/>
      <c r="D71" s="129"/>
      <c r="E71" s="129"/>
      <c r="F71" s="129"/>
      <c r="G71" s="129"/>
      <c r="H71" s="129"/>
      <c r="I71" s="129"/>
      <c r="J71" s="62"/>
      <c r="K71" s="63"/>
      <c r="L71" s="64"/>
      <c r="M71" s="54"/>
      <c r="O71" s="158"/>
      <c r="P71" s="158"/>
      <c r="Q71" s="158"/>
      <c r="R71" s="163"/>
      <c r="S71" s="169"/>
      <c r="T71" s="5"/>
    </row>
    <row r="72" spans="1:20" s="55" customFormat="1" ht="12">
      <c r="A72" s="87"/>
      <c r="B72" s="61"/>
      <c r="C72" s="129"/>
      <c r="D72" s="129"/>
      <c r="E72" s="129"/>
      <c r="F72" s="129"/>
      <c r="G72" s="129"/>
      <c r="H72" s="129"/>
      <c r="I72" s="129"/>
      <c r="J72" s="62"/>
      <c r="K72" s="63"/>
      <c r="L72" s="64"/>
      <c r="M72" s="54"/>
      <c r="O72" s="158"/>
      <c r="P72" s="158"/>
      <c r="Q72" s="158"/>
      <c r="R72" s="163"/>
      <c r="S72" s="169"/>
      <c r="T72" s="5"/>
    </row>
    <row r="73" spans="1:20" s="55" customFormat="1" ht="12">
      <c r="A73" s="87"/>
      <c r="B73" s="61"/>
      <c r="C73" s="129"/>
      <c r="D73" s="129"/>
      <c r="E73" s="129"/>
      <c r="F73" s="129"/>
      <c r="G73" s="129"/>
      <c r="H73" s="129"/>
      <c r="I73" s="129"/>
      <c r="J73" s="62"/>
      <c r="K73" s="63"/>
      <c r="L73" s="64"/>
      <c r="M73" s="54"/>
      <c r="O73" s="158"/>
      <c r="P73" s="158"/>
      <c r="Q73" s="158"/>
      <c r="R73" s="163"/>
      <c r="S73" s="169"/>
      <c r="T73" s="5"/>
    </row>
    <row r="74" spans="1:20" s="55" customFormat="1" ht="12">
      <c r="A74" s="87"/>
      <c r="B74" s="61"/>
      <c r="C74" s="129"/>
      <c r="D74" s="129"/>
      <c r="E74" s="129"/>
      <c r="F74" s="129"/>
      <c r="G74" s="129"/>
      <c r="H74" s="129"/>
      <c r="I74" s="129"/>
      <c r="J74" s="62"/>
      <c r="K74" s="63"/>
      <c r="L74" s="64"/>
      <c r="M74" s="54"/>
      <c r="O74" s="158"/>
      <c r="P74" s="158"/>
      <c r="Q74" s="158"/>
      <c r="R74" s="163"/>
      <c r="S74" s="169"/>
      <c r="T74" s="5"/>
    </row>
    <row r="75" spans="1:20" s="55" customFormat="1" ht="12.75" thickBot="1">
      <c r="A75" s="53"/>
      <c r="B75" s="61"/>
      <c r="C75" s="129"/>
      <c r="D75" s="129"/>
      <c r="E75" s="129"/>
      <c r="F75" s="129"/>
      <c r="G75" s="129"/>
      <c r="H75" s="129"/>
      <c r="I75" s="129"/>
      <c r="J75" s="62"/>
      <c r="K75" s="63"/>
      <c r="L75" s="64"/>
      <c r="M75" s="54"/>
      <c r="O75" s="158"/>
      <c r="P75" s="158"/>
      <c r="Q75" s="158"/>
      <c r="R75" s="163"/>
      <c r="S75" s="169"/>
      <c r="T75" s="5"/>
    </row>
    <row r="76" spans="1:20" s="55" customFormat="1" ht="12.75" thickBot="1">
      <c r="A76" s="53"/>
      <c r="B76" s="69" t="s">
        <v>30</v>
      </c>
      <c r="C76" s="70"/>
      <c r="D76" s="71"/>
      <c r="E76" s="71"/>
      <c r="F76" s="72"/>
      <c r="G76" s="1"/>
      <c r="H76" s="1"/>
      <c r="I76" s="1"/>
      <c r="J76" s="62"/>
      <c r="K76" s="63"/>
      <c r="L76" s="64"/>
      <c r="M76" s="51"/>
      <c r="N76" s="56"/>
      <c r="R76" s="56"/>
      <c r="S76" s="166"/>
    </row>
    <row r="77" spans="1:20" s="55" customFormat="1" ht="12" customHeight="1">
      <c r="A77" s="53"/>
      <c r="B77" s="7" t="s">
        <v>36</v>
      </c>
      <c r="C77" s="463" t="s">
        <v>37</v>
      </c>
      <c r="D77" s="463"/>
      <c r="E77" s="463"/>
      <c r="F77" s="8"/>
      <c r="G77" s="73"/>
      <c r="H77" s="73"/>
      <c r="I77" s="73"/>
      <c r="J77" s="74"/>
      <c r="K77" s="103"/>
      <c r="L77" s="111"/>
      <c r="M77" s="54"/>
      <c r="N77" s="56"/>
      <c r="R77" s="56"/>
      <c r="S77" s="166"/>
    </row>
    <row r="78" spans="1:20" s="55" customFormat="1" ht="12.75" customHeight="1">
      <c r="A78" s="53"/>
      <c r="B78" s="7" t="s">
        <v>91</v>
      </c>
      <c r="C78" s="463" t="s">
        <v>83</v>
      </c>
      <c r="D78" s="463"/>
      <c r="E78" s="463"/>
      <c r="F78" s="75"/>
      <c r="G78" s="76"/>
      <c r="H78" s="76"/>
      <c r="I78" s="451" t="s">
        <v>31</v>
      </c>
      <c r="J78" s="452"/>
      <c r="K78" s="452"/>
      <c r="L78" s="453"/>
      <c r="M78" s="54"/>
      <c r="N78" s="56"/>
      <c r="R78" s="56"/>
      <c r="S78" s="166"/>
    </row>
    <row r="79" spans="1:20" s="55" customFormat="1" ht="12.75" customHeight="1">
      <c r="A79" s="53"/>
      <c r="B79" s="7"/>
      <c r="C79" s="446" t="s">
        <v>81</v>
      </c>
      <c r="D79" s="446"/>
      <c r="E79" s="446"/>
      <c r="F79" s="75"/>
      <c r="G79" s="76"/>
      <c r="H79" s="76"/>
      <c r="I79" s="454"/>
      <c r="J79" s="455"/>
      <c r="K79" s="455"/>
      <c r="L79" s="456"/>
      <c r="M79" s="54"/>
      <c r="N79" s="56"/>
      <c r="R79" s="56"/>
      <c r="S79" s="166"/>
    </row>
    <row r="80" spans="1:20" s="55" customFormat="1" ht="15" customHeight="1">
      <c r="A80" s="53"/>
      <c r="B80" s="7" t="s">
        <v>32</v>
      </c>
      <c r="C80" s="447" t="s">
        <v>80</v>
      </c>
      <c r="D80" s="447"/>
      <c r="E80" s="447"/>
      <c r="F80" s="448"/>
      <c r="G80" s="73"/>
      <c r="H80" s="73"/>
      <c r="I80" s="454"/>
      <c r="J80" s="455"/>
      <c r="K80" s="455"/>
      <c r="L80" s="456"/>
      <c r="M80" s="54"/>
      <c r="N80" s="56"/>
      <c r="R80" s="56"/>
      <c r="S80" s="166"/>
    </row>
    <row r="81" spans="1:19" s="55" customFormat="1" ht="15" customHeight="1">
      <c r="A81" s="53"/>
      <c r="B81" s="9" t="s">
        <v>63</v>
      </c>
      <c r="C81" s="449" t="s">
        <v>62</v>
      </c>
      <c r="D81" s="449"/>
      <c r="E81" s="449"/>
      <c r="F81" s="450"/>
      <c r="G81" s="73"/>
      <c r="H81" s="73"/>
      <c r="I81" s="454"/>
      <c r="J81" s="455"/>
      <c r="K81" s="455"/>
      <c r="L81" s="456"/>
      <c r="M81" s="54"/>
      <c r="N81" s="56"/>
      <c r="R81" s="56"/>
      <c r="S81" s="166"/>
    </row>
    <row r="82" spans="1:19" s="55" customFormat="1" ht="12.75" customHeight="1">
      <c r="A82" s="53"/>
      <c r="B82" s="7"/>
      <c r="C82" s="125"/>
      <c r="D82" s="104"/>
      <c r="E82" s="104"/>
      <c r="F82" s="77"/>
      <c r="G82" s="73"/>
      <c r="H82" s="73"/>
      <c r="I82" s="454"/>
      <c r="J82" s="455"/>
      <c r="K82" s="455"/>
      <c r="L82" s="456"/>
      <c r="M82" s="54"/>
      <c r="N82" s="56"/>
      <c r="R82" s="56"/>
      <c r="S82" s="166"/>
    </row>
    <row r="83" spans="1:19" s="55" customFormat="1" ht="15" customHeight="1">
      <c r="A83" s="53"/>
      <c r="B83" s="9"/>
      <c r="C83" s="460"/>
      <c r="D83" s="460"/>
      <c r="E83" s="460"/>
      <c r="F83" s="77"/>
      <c r="G83" s="73"/>
      <c r="H83" s="73"/>
      <c r="I83" s="457"/>
      <c r="J83" s="458"/>
      <c r="K83" s="458"/>
      <c r="L83" s="459"/>
      <c r="M83" s="54"/>
      <c r="N83" s="56"/>
      <c r="R83" s="56"/>
      <c r="S83" s="166"/>
    </row>
    <row r="84" spans="1:19" s="55" customFormat="1" ht="13.5" customHeight="1">
      <c r="A84" s="132"/>
      <c r="B84" s="370" t="s">
        <v>35</v>
      </c>
      <c r="C84" s="371"/>
      <c r="D84" s="371"/>
      <c r="E84" s="371"/>
      <c r="F84" s="371"/>
      <c r="G84" s="371"/>
      <c r="H84" s="371"/>
      <c r="I84" s="371"/>
      <c r="J84" s="371"/>
      <c r="K84" s="371"/>
      <c r="L84" s="372"/>
      <c r="M84" s="132"/>
      <c r="N84" s="56"/>
      <c r="R84" s="56"/>
      <c r="S84" s="166"/>
    </row>
    <row r="85" spans="1:19" hidden="1">
      <c r="A85" s="88"/>
      <c r="B85" s="88"/>
      <c r="C85" s="89"/>
      <c r="D85" s="89"/>
      <c r="E85" s="89"/>
      <c r="F85" s="89"/>
      <c r="G85" s="89"/>
      <c r="H85" s="89"/>
      <c r="I85" s="89"/>
      <c r="J85" s="90"/>
      <c r="K85" s="89"/>
      <c r="L85" s="89"/>
      <c r="M85" s="91"/>
    </row>
    <row r="86" spans="1:19" hidden="1">
      <c r="A86" s="92"/>
      <c r="B86" s="93"/>
      <c r="C86" s="93"/>
      <c r="D86" s="93"/>
      <c r="E86" s="93"/>
      <c r="F86" s="93"/>
      <c r="G86" s="93"/>
      <c r="H86" s="93"/>
      <c r="I86" s="93"/>
      <c r="J86" s="94"/>
      <c r="K86" s="93"/>
      <c r="L86" s="93"/>
      <c r="M86" s="95"/>
    </row>
  </sheetData>
  <mergeCells count="80">
    <mergeCell ref="G2:I2"/>
    <mergeCell ref="G3:I3"/>
    <mergeCell ref="B4:F5"/>
    <mergeCell ref="G4:I4"/>
    <mergeCell ref="J4:K4"/>
    <mergeCell ref="G5:I5"/>
    <mergeCell ref="J5:K5"/>
    <mergeCell ref="G6:I6"/>
    <mergeCell ref="C9:E9"/>
    <mergeCell ref="G9:I9"/>
    <mergeCell ref="J9:K9"/>
    <mergeCell ref="C10:E10"/>
    <mergeCell ref="G10:I10"/>
    <mergeCell ref="J10:L10"/>
    <mergeCell ref="C11:E11"/>
    <mergeCell ref="G11:I11"/>
    <mergeCell ref="J11:K11"/>
    <mergeCell ref="C12:E12"/>
    <mergeCell ref="G12:I12"/>
    <mergeCell ref="J12:K12"/>
    <mergeCell ref="C21:I21"/>
    <mergeCell ref="K21:L21"/>
    <mergeCell ref="C13:E13"/>
    <mergeCell ref="G13:I13"/>
    <mergeCell ref="J13:K13"/>
    <mergeCell ref="C14:E14"/>
    <mergeCell ref="G14:I14"/>
    <mergeCell ref="C15:I15"/>
    <mergeCell ref="K15:L15"/>
    <mergeCell ref="B17:L17"/>
    <mergeCell ref="C19:I19"/>
    <mergeCell ref="K19:L19"/>
    <mergeCell ref="C20:I20"/>
    <mergeCell ref="K20:L20"/>
    <mergeCell ref="C22:I22"/>
    <mergeCell ref="K22:L22"/>
    <mergeCell ref="C23:I23"/>
    <mergeCell ref="K23:L23"/>
    <mergeCell ref="C24:I24"/>
    <mergeCell ref="K24:L24"/>
    <mergeCell ref="C25:I25"/>
    <mergeCell ref="K25:L25"/>
    <mergeCell ref="C26:I26"/>
    <mergeCell ref="K26:L26"/>
    <mergeCell ref="C27:I27"/>
    <mergeCell ref="K27:L27"/>
    <mergeCell ref="C28:I28"/>
    <mergeCell ref="K28:L28"/>
    <mergeCell ref="C29:I29"/>
    <mergeCell ref="K29:L29"/>
    <mergeCell ref="C30:I30"/>
    <mergeCell ref="K30:L30"/>
    <mergeCell ref="C31:I31"/>
    <mergeCell ref="K31:L31"/>
    <mergeCell ref="C32:I32"/>
    <mergeCell ref="K32:L32"/>
    <mergeCell ref="C33:I33"/>
    <mergeCell ref="K33:L33"/>
    <mergeCell ref="B59:C59"/>
    <mergeCell ref="C38:I38"/>
    <mergeCell ref="K38:L38"/>
    <mergeCell ref="B40:L40"/>
    <mergeCell ref="C42:I42"/>
    <mergeCell ref="C43:I43"/>
    <mergeCell ref="B52:C52"/>
    <mergeCell ref="B53:C53"/>
    <mergeCell ref="B55:C55"/>
    <mergeCell ref="B56:C56"/>
    <mergeCell ref="B57:C57"/>
    <mergeCell ref="B58:C58"/>
    <mergeCell ref="B84:L84"/>
    <mergeCell ref="B60:C60"/>
    <mergeCell ref="B61:C61"/>
    <mergeCell ref="C77:E77"/>
    <mergeCell ref="C78:E78"/>
    <mergeCell ref="I78:L83"/>
    <mergeCell ref="C79:E79"/>
    <mergeCell ref="C80:F80"/>
    <mergeCell ref="C81:F81"/>
    <mergeCell ref="C83:E83"/>
  </mergeCells>
  <dataValidations count="6">
    <dataValidation errorStyle="warning" allowBlank="1" showInputMessage="1" errorTitle="Estado" promptTitle="Estado" prompt="Escriba la abreviatura del estado en esta celda." sqref="E11" xr:uid="{00000000-0002-0000-0A00-000000000000}"/>
    <dataValidation allowBlank="1" showInputMessage="1" showErrorMessage="1" promptTitle="Información de la organización" prompt="Para escribir varias líneas en una celda, use Alt+Entrar.  También puede personalizar esta plantilla y guardarla como una nueva para su uso posterior. Para más información sobre cómo crear plantillas personalizadas, vea los temas de ayuda." sqref="B1:I1" xr:uid="{00000000-0002-0000-0A00-000001000000}"/>
    <dataValidation errorStyle="warning" allowBlank="1" showInputMessage="1" errorTitle="Número de tarjeta de crédito" promptTitle="Número de tarjeta de crédito" prompt="Escriba en este espacio el número de la tarjeta de crédito del cliente." sqref="C82:E82" xr:uid="{00000000-0002-0000-0A00-000002000000}"/>
    <dataValidation errorStyle="warning" allowBlank="1" showInputMessage="1" errorTitle="Sólo para uso interno" promptTitle="Sólo para uso interno" prompt="Utilice esta sección para agregar información no incluida en ninguna otra sección de la factura. Agréguela directamente a la hoja o escríbala una vez impresa." sqref="I78:I79" xr:uid="{00000000-0002-0000-0A00-000003000000}"/>
    <dataValidation type="whole" errorStyle="warning" allowBlank="1" showErrorMessage="1" errorTitle="Cantidad" error="Debe escribir un número en esta celda." promptTitle="Cantidad" sqref="B30:B39 B19 B42:B76 B25:B26" xr:uid="{00000000-0002-0000-0A00-000004000000}">
      <formula1>0</formula1>
      <formula2>1000000000</formula2>
    </dataValidation>
    <dataValidation type="decimal" allowBlank="1" showErrorMessage="1" errorTitle="Precio unitario" error="Debe escribir un número en esta celda." promptTitle="Precio unitario" sqref="J42:J76 J19:J29" xr:uid="{00000000-0002-0000-0A00-000005000000}">
      <formula1>0</formula1>
      <formula2>1000000000</formula2>
    </dataValidation>
  </dataValidations>
  <hyperlinks>
    <hyperlink ref="J4" r:id="rId1" xr:uid="{00000000-0004-0000-0A00-000000000000}"/>
    <hyperlink ref="J5" r:id="rId2" xr:uid="{00000000-0004-0000-0A00-000001000000}"/>
  </hyperlinks>
  <pageMargins left="0.23622047244094491" right="0.23622047244094491" top="0.74803149606299213" bottom="0.74803149606299213" header="0.31496062992125984" footer="0.31496062992125984"/>
  <pageSetup paperSize="9" orientation="portrait" r:id="rId3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18</vt:i4>
      </vt:variant>
    </vt:vector>
  </HeadingPairs>
  <TitlesOfParts>
    <vt:vector size="29" baseType="lpstr">
      <vt:lpstr>Sala VIP Equipos </vt:lpstr>
      <vt:lpstr>OFIC Country Manager EQUIPOS</vt:lpstr>
      <vt:lpstr>Sala de Reuniones Nueva eQUIPOS</vt:lpstr>
      <vt:lpstr>Sala VIDCONFERENCIA EQUIPOS</vt:lpstr>
      <vt:lpstr>OFIC Country Manager 2</vt:lpstr>
      <vt:lpstr>Sala ERO-1 Equipos</vt:lpstr>
      <vt:lpstr>Accesorios comunes Equipos</vt:lpstr>
      <vt:lpstr>presupuesto</vt:lpstr>
      <vt:lpstr>final</vt:lpstr>
      <vt:lpstr>RESUMEN AUDVINTECH</vt:lpstr>
      <vt:lpstr>Iluminación 1</vt:lpstr>
      <vt:lpstr>'Accesorios comunes Equipos'!Área_de_impresión</vt:lpstr>
      <vt:lpstr>final!Área_de_impresión</vt:lpstr>
      <vt:lpstr>'Iluminación 1'!Área_de_impresión</vt:lpstr>
      <vt:lpstr>'OFIC Country Manager 2'!Área_de_impresión</vt:lpstr>
      <vt:lpstr>'OFIC Country Manager EQUIPOS'!Área_de_impresión</vt:lpstr>
      <vt:lpstr>presupuesto!Área_de_impresión</vt:lpstr>
      <vt:lpstr>'Sala de Reuniones Nueva eQUIPOS'!Área_de_impresión</vt:lpstr>
      <vt:lpstr>'Sala ERO-1 Equipos'!Área_de_impresión</vt:lpstr>
      <vt:lpstr>'Sala VIDCONFERENCIA EQUIPOS'!Área_de_impresión</vt:lpstr>
      <vt:lpstr>'Sala VIP Equipos '!Área_de_impresión</vt:lpstr>
      <vt:lpstr>'Accesorios comunes Equipos'!Títulos_a_imprimir</vt:lpstr>
      <vt:lpstr>'Iluminación 1'!Títulos_a_imprimir</vt:lpstr>
      <vt:lpstr>'OFIC Country Manager 2'!Títulos_a_imprimir</vt:lpstr>
      <vt:lpstr>'OFIC Country Manager EQUIPOS'!Títulos_a_imprimir</vt:lpstr>
      <vt:lpstr>'Sala de Reuniones Nueva eQUIPOS'!Títulos_a_imprimir</vt:lpstr>
      <vt:lpstr>'Sala ERO-1 Equipos'!Títulos_a_imprimir</vt:lpstr>
      <vt:lpstr>'Sala VIDCONFERENCIA EQUIPOS'!Títulos_a_imprimir</vt:lpstr>
      <vt:lpstr>'Sala VIP Equipos '!Títulos_a_imprimir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Ovalles</dc:creator>
  <cp:lastModifiedBy>Carlos Ovalles</cp:lastModifiedBy>
  <cp:lastPrinted>2024-11-28T10:19:43Z</cp:lastPrinted>
  <dcterms:created xsi:type="dcterms:W3CDTF">2017-11-08T00:06:42Z</dcterms:created>
  <dcterms:modified xsi:type="dcterms:W3CDTF">2026-04-14T17:34:21Z</dcterms:modified>
</cp:coreProperties>
</file>